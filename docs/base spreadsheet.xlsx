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" sheetId="1" r:id="rId5"/>
    <sheet state="visible" name="Profile Comparison" sheetId="2" r:id="rId6"/>
    <sheet state="visible" name="Profile 1" sheetId="3" r:id="rId7"/>
    <sheet state="visible" name="Profile 2" sheetId="4" r:id="rId8"/>
    <sheet state="visible" name="Profile 3" sheetId="5" r:id="rId9"/>
    <sheet state="visible" name="Regenlifestealdps" sheetId="6" r:id="rId10"/>
    <sheet state="visible" name="Gear probability" sheetId="7" r:id="rId11"/>
    <sheet state="visible" name="Forge Levels" sheetId="8" r:id="rId12"/>
  </sheets>
  <definedNames/>
  <calcPr/>
</workbook>
</file>

<file path=xl/sharedStrings.xml><?xml version="1.0" encoding="utf-8"?>
<sst xmlns="http://schemas.openxmlformats.org/spreadsheetml/2006/main" count="516" uniqueCount="90">
  <si>
    <t>Hello and welcome to the master spreadsheet where everything is all in one place this is created by thermo with help from (kayzee, borger, 1vcian and other community members)</t>
  </si>
  <si>
    <t>This colour means you can change this cell without breaking anything</t>
  </si>
  <si>
    <t>This colour is an output slot for the calculators (DO NOT CHANGE) if you do change this cell you will need to recopy the spreadsheet</t>
  </si>
  <si>
    <t>Current Gear</t>
  </si>
  <si>
    <t>Profile 2</t>
  </si>
  <si>
    <t>Profile 3</t>
  </si>
  <si>
    <t>Build Damage</t>
  </si>
  <si>
    <t>Shown Damage</t>
  </si>
  <si>
    <t>Build Health</t>
  </si>
  <si>
    <t>Shown Health</t>
  </si>
  <si>
    <t>Crit chance</t>
  </si>
  <si>
    <t>Total Damage</t>
  </si>
  <si>
    <t>Crit damage</t>
  </si>
  <si>
    <t>Total Health</t>
  </si>
  <si>
    <t>Block chance</t>
  </si>
  <si>
    <t>Regen</t>
  </si>
  <si>
    <t>Lifesteal</t>
  </si>
  <si>
    <t>Double chance</t>
  </si>
  <si>
    <t>Damage</t>
  </si>
  <si>
    <t>Melee Dmg</t>
  </si>
  <si>
    <t>Ranged Dmg</t>
  </si>
  <si>
    <t>Attack speed</t>
  </si>
  <si>
    <t>Health</t>
  </si>
  <si>
    <t>Skill damage</t>
  </si>
  <si>
    <t>Skill cooldown</t>
  </si>
  <si>
    <t>Skills</t>
  </si>
  <si>
    <t>Base Damage</t>
  </si>
  <si>
    <t>K</t>
  </si>
  <si>
    <t>Regen/sec</t>
  </si>
  <si>
    <t>Base Health</t>
  </si>
  <si>
    <t>Skins</t>
  </si>
  <si>
    <t xml:space="preserve"> </t>
  </si>
  <si>
    <t>Lifesteal HP/sec</t>
  </si>
  <si>
    <t>Damage %</t>
  </si>
  <si>
    <t>Health %</t>
  </si>
  <si>
    <t>Dmg/sec</t>
  </si>
  <si>
    <t>Heal/sec</t>
  </si>
  <si>
    <t>Forge level</t>
  </si>
  <si>
    <t>Primitive</t>
  </si>
  <si>
    <t>Medieval</t>
  </si>
  <si>
    <t>Early-modern</t>
  </si>
  <si>
    <t>Modern</t>
  </si>
  <si>
    <t>Space</t>
  </si>
  <si>
    <t>Interstellar</t>
  </si>
  <si>
    <t>Multiverse</t>
  </si>
  <si>
    <t>Quantum</t>
  </si>
  <si>
    <t>Underworld</t>
  </si>
  <si>
    <t>Divine</t>
  </si>
  <si>
    <t>substats wanted</t>
  </si>
  <si>
    <t>forge level</t>
  </si>
  <si>
    <t>forge discount</t>
  </si>
  <si>
    <t>forge speed</t>
  </si>
  <si>
    <t>Helmet</t>
  </si>
  <si>
    <t>Pick (k,m,b)</t>
  </si>
  <si>
    <t>Raw Values</t>
  </si>
  <si>
    <t>Armor</t>
  </si>
  <si>
    <t>Gloves</t>
  </si>
  <si>
    <t>Necklace</t>
  </si>
  <si>
    <t>Ring</t>
  </si>
  <si>
    <t>M</t>
  </si>
  <si>
    <t>Weapon</t>
  </si>
  <si>
    <t>Boots</t>
  </si>
  <si>
    <t>Belt</t>
  </si>
  <si>
    <t>Mount</t>
  </si>
  <si>
    <t>Ranged</t>
  </si>
  <si>
    <t>Pet 1</t>
  </si>
  <si>
    <t>Pet 2</t>
  </si>
  <si>
    <t>Pet 3</t>
  </si>
  <si>
    <t>profile 1</t>
  </si>
  <si>
    <t>profile 2</t>
  </si>
  <si>
    <t>profile 3</t>
  </si>
  <si>
    <t>Atks/sec?</t>
  </si>
  <si>
    <t>This calculator is to check if your regen will be higher when changing equipment</t>
  </si>
  <si>
    <t>Lifesteal calculator. For damage put what it says on your profile without the million or billion</t>
  </si>
  <si>
    <t>Health per attack</t>
  </si>
  <si>
    <t>Health per second</t>
  </si>
  <si>
    <t>Health per crit</t>
  </si>
  <si>
    <t>Damage per second</t>
  </si>
  <si>
    <t>Both correct</t>
  </si>
  <si>
    <t>1 in chance</t>
  </si>
  <si>
    <t>Percent chance</t>
  </si>
  <si>
    <t>One correct</t>
  </si>
  <si>
    <t>x</t>
  </si>
  <si>
    <t>pet chance 1 stat</t>
  </si>
  <si>
    <t>pet chance 2 stats</t>
  </si>
  <si>
    <t>Forge to forge levels</t>
  </si>
  <si>
    <t>cost</t>
  </si>
  <si>
    <t>days</t>
  </si>
  <si>
    <t>hours</t>
  </si>
  <si>
    <t>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</si>
</sst>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4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4" fontId="3" numFmtId="0" xfId="0" applyAlignment="1" applyBorder="1" applyFill="1" applyFont="1">
      <alignment horizontal="center" readingOrder="0" vertical="bottom"/>
    </xf>
    <xf borderId="2" fillId="0" fontId="4" numFmtId="0" xfId="0" applyBorder="1" applyFont="1"/>
    <xf borderId="3" fillId="0" fontId="4" numFmtId="0" xfId="0" applyBorder="1" applyFont="1"/>
    <xf borderId="4" fillId="5" fontId="3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4" fillId="6" fontId="3" numFmtId="0" xfId="0" applyAlignment="1" applyBorder="1" applyFill="1" applyFont="1">
      <alignment readingOrder="0" vertical="bottom"/>
    </xf>
    <xf borderId="4" fillId="7" fontId="5" numFmtId="3" xfId="0" applyAlignment="1" applyBorder="1" applyFill="1" applyFont="1" applyNumberFormat="1">
      <alignment horizontal="right" readingOrder="0" vertical="bottom"/>
    </xf>
    <xf borderId="4" fillId="7" fontId="5" numFmtId="3" xfId="0" applyAlignment="1" applyBorder="1" applyFont="1" applyNumberFormat="1">
      <alignment horizontal="right" vertical="bottom"/>
    </xf>
    <xf borderId="4" fillId="8" fontId="3" numFmtId="0" xfId="0" applyAlignment="1" applyBorder="1" applyFill="1" applyFont="1">
      <alignment vertical="bottom"/>
    </xf>
    <xf borderId="4" fillId="5" fontId="5" numFmtId="0" xfId="0" applyAlignment="1" applyBorder="1" applyFont="1">
      <alignment horizontal="right" readingOrder="0" vertical="bottom"/>
    </xf>
    <xf borderId="4" fillId="8" fontId="6" numFmtId="0" xfId="0" applyAlignment="1" applyBorder="1" applyFont="1">
      <alignment readingOrder="0"/>
    </xf>
    <xf borderId="4" fillId="5" fontId="5" numFmtId="3" xfId="0" applyAlignment="1" applyBorder="1" applyFont="1" applyNumberFormat="1">
      <alignment vertical="bottom"/>
    </xf>
    <xf borderId="4" fillId="8" fontId="3" numFmtId="0" xfId="0" applyAlignment="1" applyBorder="1" applyFont="1">
      <alignment readingOrder="0" vertical="bottom"/>
    </xf>
    <xf borderId="0" fillId="9" fontId="5" numFmtId="0" xfId="0" applyAlignment="1" applyFill="1" applyFont="1">
      <alignment vertical="bottom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2" fontId="5" numFmtId="0" xfId="0" applyAlignment="1" applyBorder="1" applyFont="1">
      <alignment horizontal="right" readingOrder="0" vertical="bottom"/>
    </xf>
    <xf borderId="4" fillId="2" fontId="5" numFmtId="0" xfId="0" applyAlignment="1" applyBorder="1" applyFont="1">
      <alignment readingOrder="0" vertical="bottom"/>
    </xf>
    <xf borderId="4" fillId="0" fontId="5" numFmtId="3" xfId="0" applyAlignment="1" applyBorder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2" numFmtId="10" xfId="0" applyFont="1" applyNumberForma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5" numFmtId="0" xfId="0" applyAlignment="1" applyFont="1">
      <alignment horizontal="right" readingOrder="0" vertical="bottom"/>
    </xf>
    <xf borderId="0" fillId="2" fontId="5" numFmtId="0" xfId="0" applyAlignment="1" applyFont="1">
      <alignment readingOrder="0" vertical="bottom"/>
    </xf>
    <xf borderId="0" fillId="3" fontId="5" numFmtId="3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5" fillId="4" fontId="3" numFmtId="0" xfId="0" applyAlignment="1" applyBorder="1" applyFont="1">
      <alignment readingOrder="0" vertical="bottom"/>
    </xf>
    <xf borderId="6" fillId="0" fontId="4" numFmtId="0" xfId="0" applyBorder="1" applyFont="1"/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10" fillId="0" fontId="5" numFmtId="3" xfId="0" applyAlignment="1" applyBorder="1" applyFont="1" applyNumberFormat="1">
      <alignment horizontal="right" vertical="bottom"/>
    </xf>
    <xf borderId="9" fillId="2" fontId="2" numFmtId="0" xfId="0" applyAlignment="1" applyBorder="1" applyFont="1">
      <alignment readingOrder="0"/>
    </xf>
    <xf borderId="4" fillId="10" fontId="2" numFmtId="0" xfId="0" applyBorder="1" applyFill="1" applyFont="1"/>
    <xf borderId="10" fillId="10" fontId="2" numFmtId="0" xfId="0" applyBorder="1" applyFont="1"/>
    <xf borderId="11" fillId="2" fontId="2" numFmtId="0" xfId="0" applyAlignment="1" applyBorder="1" applyFont="1">
      <alignment readingOrder="0"/>
    </xf>
    <xf borderId="12" fillId="2" fontId="2" numFmtId="0" xfId="0" applyAlignment="1" applyBorder="1" applyFont="1">
      <alignment readingOrder="0"/>
    </xf>
    <xf borderId="12" fillId="10" fontId="5" numFmtId="0" xfId="0" applyAlignment="1" applyBorder="1" applyFont="1">
      <alignment vertical="bottom"/>
    </xf>
    <xf borderId="13" fillId="10" fontId="2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3" numFmtId="0" xfId="0" applyAlignment="1" applyBorder="1" applyFont="1">
      <alignment vertical="bottom"/>
    </xf>
    <xf borderId="1" fillId="2" fontId="5" numFmtId="0" xfId="0" applyAlignment="1" applyBorder="1" applyFont="1">
      <alignment readingOrder="0" vertical="bottom"/>
    </xf>
    <xf borderId="17" fillId="0" fontId="4" numFmtId="0" xfId="0" applyBorder="1" applyFont="1"/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5" fontId="2" numFmtId="3" xfId="0" applyBorder="1" applyFont="1" applyNumberFormat="1"/>
    <xf borderId="0" fillId="0" fontId="2" numFmtId="3" xfId="0" applyFont="1" applyNumberFormat="1"/>
    <xf borderId="4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center" shrinkToFit="0" wrapText="1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21" fillId="0" fontId="2" numFmtId="0" xfId="0" applyAlignment="1" applyBorder="1" applyFont="1">
      <alignment readingOrder="0"/>
    </xf>
    <xf borderId="22" fillId="0" fontId="2" numFmtId="0" xfId="0" applyAlignment="1" applyBorder="1" applyFont="1">
      <alignment readingOrder="0"/>
    </xf>
    <xf borderId="23" fillId="0" fontId="2" numFmtId="0" xfId="0" applyAlignment="1" applyBorder="1" applyFont="1">
      <alignment readingOrder="0"/>
    </xf>
    <xf borderId="24" fillId="0" fontId="2" numFmtId="0" xfId="0" applyAlignment="1" applyBorder="1" applyFont="1">
      <alignment readingOrder="0"/>
    </xf>
    <xf borderId="0" fillId="9" fontId="5" numFmtId="3" xfId="0" applyAlignment="1" applyFont="1" applyNumberFormat="1">
      <alignment horizontal="right" vertical="bottom"/>
    </xf>
    <xf borderId="0" fillId="9" fontId="5" numFmtId="0" xfId="0" applyAlignment="1" applyFont="1">
      <alignment horizontal="right" vertical="bottom"/>
    </xf>
    <xf borderId="25" fillId="3" fontId="5" numFmtId="0" xfId="0" applyAlignment="1" applyBorder="1" applyFont="1">
      <alignment horizontal="right" vertical="bottom"/>
    </xf>
    <xf borderId="18" fillId="0" fontId="5" numFmtId="0" xfId="0" applyAlignment="1" applyBorder="1" applyFont="1">
      <alignment vertical="bottom"/>
    </xf>
    <xf borderId="19" fillId="0" fontId="5" numFmtId="4" xfId="0" applyAlignment="1" applyBorder="1" applyFont="1" applyNumberFormat="1">
      <alignment horizontal="right" vertical="bottom"/>
    </xf>
    <xf borderId="20" fillId="0" fontId="5" numFmtId="4" xfId="0" applyAlignment="1" applyBorder="1" applyFont="1" applyNumberFormat="1">
      <alignment horizontal="right" vertical="bottom"/>
    </xf>
    <xf borderId="26" fillId="0" fontId="2" numFmtId="0" xfId="0" applyAlignment="1" applyBorder="1" applyFont="1">
      <alignment readingOrder="0"/>
    </xf>
    <xf borderId="0" fillId="9" fontId="5" numFmtId="3" xfId="0" applyAlignment="1" applyFont="1" applyNumberFormat="1">
      <alignment vertical="bottom"/>
    </xf>
    <xf borderId="27" fillId="0" fontId="5" numFmtId="0" xfId="0" applyAlignment="1" applyBorder="1" applyFont="1">
      <alignment vertical="bottom"/>
    </xf>
    <xf borderId="0" fillId="0" fontId="5" numFmtId="4" xfId="0" applyAlignment="1" applyFont="1" applyNumberFormat="1">
      <alignment horizontal="right" vertical="bottom"/>
    </xf>
    <xf borderId="25" fillId="0" fontId="5" numFmtId="4" xfId="0" applyAlignment="1" applyBorder="1" applyFont="1" applyNumberFormat="1">
      <alignment horizontal="right" vertical="bottom"/>
    </xf>
    <xf borderId="28" fillId="0" fontId="2" numFmtId="0" xfId="0" applyAlignment="1" applyBorder="1" applyFont="1">
      <alignment readingOrder="0"/>
    </xf>
    <xf borderId="29" fillId="9" fontId="5" numFmtId="3" xfId="0" applyAlignment="1" applyBorder="1" applyFont="1" applyNumberFormat="1">
      <alignment vertical="bottom"/>
    </xf>
    <xf borderId="29" fillId="9" fontId="5" numFmtId="0" xfId="0" applyAlignment="1" applyBorder="1" applyFont="1">
      <alignment vertical="bottom"/>
    </xf>
    <xf borderId="30" fillId="3" fontId="5" numFmtId="0" xfId="0" applyAlignment="1" applyBorder="1" applyFont="1">
      <alignment horizontal="right" vertical="bottom"/>
    </xf>
    <xf borderId="0" fillId="3" fontId="5" numFmtId="4" xfId="0" applyAlignment="1" applyFont="1" applyNumberFormat="1">
      <alignment horizontal="right" vertical="bottom"/>
    </xf>
    <xf borderId="25" fillId="3" fontId="5" numFmtId="4" xfId="0" applyAlignment="1" applyBorder="1" applyFont="1" applyNumberFormat="1">
      <alignment horizontal="right" vertical="bottom"/>
    </xf>
    <xf borderId="31" fillId="0" fontId="5" numFmtId="0" xfId="0" applyAlignment="1" applyBorder="1" applyFont="1">
      <alignment vertical="bottom"/>
    </xf>
    <xf borderId="29" fillId="3" fontId="5" numFmtId="4" xfId="0" applyAlignment="1" applyBorder="1" applyFont="1" applyNumberFormat="1">
      <alignment horizontal="right" vertical="bottom"/>
    </xf>
    <xf borderId="30" fillId="3" fontId="5" numFmtId="4" xfId="0" applyAlignment="1" applyBorder="1" applyFont="1" applyNumberFormat="1">
      <alignment horizontal="right" vertical="bottom"/>
    </xf>
    <xf borderId="21" fillId="0" fontId="5" numFmtId="0" xfId="0" applyAlignment="1" applyBorder="1" applyFont="1">
      <alignment vertical="bottom"/>
    </xf>
    <xf borderId="22" fillId="3" fontId="5" numFmtId="4" xfId="0" applyAlignment="1" applyBorder="1" applyFont="1" applyNumberFormat="1">
      <alignment horizontal="right" vertical="bottom"/>
    </xf>
    <xf borderId="23" fillId="3" fontId="5" numFmtId="4" xfId="0" applyAlignment="1" applyBorder="1" applyFont="1" applyNumberFormat="1">
      <alignment horizontal="right" vertical="bottom"/>
    </xf>
    <xf borderId="18" fillId="0" fontId="2" numFmtId="0" xfId="0" applyAlignment="1" applyBorder="1" applyFont="1">
      <alignment readingOrder="0"/>
    </xf>
    <xf borderId="20" fillId="0" fontId="2" numFmtId="0" xfId="0" applyBorder="1" applyFont="1"/>
    <xf borderId="27" fillId="0" fontId="2" numFmtId="0" xfId="0" applyAlignment="1" applyBorder="1" applyFont="1">
      <alignment readingOrder="0"/>
    </xf>
    <xf borderId="25" fillId="0" fontId="2" numFmtId="0" xfId="0" applyBorder="1" applyFont="1"/>
    <xf borderId="0" fillId="9" fontId="2" numFmtId="0" xfId="0" applyFont="1"/>
    <xf borderId="0" fillId="9" fontId="5" numFmtId="0" xfId="0" applyAlignment="1" applyFont="1">
      <alignment horizontal="center" shrinkToFit="0" wrapText="1"/>
    </xf>
    <xf borderId="0" fillId="9" fontId="5" numFmtId="0" xfId="0" applyFont="1"/>
    <xf borderId="27" fillId="0" fontId="5" numFmtId="0" xfId="0" applyAlignment="1" applyBorder="1" applyFont="1">
      <alignment readingOrder="0" vertical="bottom"/>
    </xf>
    <xf borderId="0" fillId="9" fontId="5" numFmtId="0" xfId="0" applyAlignment="1" applyFont="1">
      <alignment horizontal="center" vertical="bottom"/>
    </xf>
    <xf borderId="0" fillId="9" fontId="5" numFmtId="0" xfId="0" applyAlignment="1" applyFont="1">
      <alignment horizontal="right" readingOrder="0" vertical="bottom"/>
    </xf>
    <xf borderId="31" fillId="0" fontId="2" numFmtId="0" xfId="0" applyAlignment="1" applyBorder="1" applyFont="1">
      <alignment readingOrder="0"/>
    </xf>
    <xf borderId="30" fillId="0" fontId="2" numFmtId="0" xfId="0" applyAlignment="1" applyBorder="1" applyFont="1">
      <alignment readingOrder="0"/>
    </xf>
    <xf borderId="19" fillId="3" fontId="2" numFmtId="0" xfId="0" applyAlignment="1" applyBorder="1" applyFont="1">
      <alignment readingOrder="0"/>
    </xf>
    <xf borderId="20" fillId="3" fontId="2" numFmtId="0" xfId="0" applyAlignment="1" applyBorder="1" applyFont="1">
      <alignment readingOrder="0"/>
    </xf>
    <xf borderId="19" fillId="3" fontId="5" numFmtId="0" xfId="0" applyAlignment="1" applyBorder="1" applyFont="1">
      <alignment vertical="bottom"/>
    </xf>
    <xf borderId="20" fillId="3" fontId="5" numFmtId="0" xfId="0" applyAlignment="1" applyBorder="1" applyFont="1">
      <alignment vertical="bottom"/>
    </xf>
    <xf borderId="0" fillId="3" fontId="2" numFmtId="0" xfId="0" applyAlignment="1" applyFont="1">
      <alignment readingOrder="0"/>
    </xf>
    <xf borderId="25" fillId="3" fontId="2" numFmtId="0" xfId="0" applyAlignment="1" applyBorder="1" applyFont="1">
      <alignment readingOrder="0"/>
    </xf>
    <xf borderId="25" fillId="3" fontId="5" numFmtId="0" xfId="0" applyAlignment="1" applyBorder="1" applyFont="1">
      <alignment vertical="bottom"/>
    </xf>
    <xf borderId="29" fillId="3" fontId="5" numFmtId="0" xfId="0" applyAlignment="1" applyBorder="1" applyFont="1">
      <alignment vertical="bottom"/>
    </xf>
    <xf borderId="30" fillId="3" fontId="5" numFmtId="0" xfId="0" applyAlignment="1" applyBorder="1" applyFont="1">
      <alignment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17</xdr:row>
      <xdr:rowOff>161925</xdr:rowOff>
    </xdr:from>
    <xdr:ext cx="1333500" cy="542925"/>
    <xdr:sp>
      <xdr:nvSpPr>
        <xdr:cNvPr id="3" name="Shape 3"/>
        <xdr:cNvSpPr/>
      </xdr:nvSpPr>
      <xdr:spPr>
        <a:xfrm>
          <a:off x="2862050" y="1971400"/>
          <a:ext cx="1311000" cy="52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Reset 2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17</xdr:row>
      <xdr:rowOff>161925</xdr:rowOff>
    </xdr:from>
    <xdr:ext cx="1333500" cy="542925"/>
    <xdr:sp>
      <xdr:nvSpPr>
        <xdr:cNvPr id="4" name="Shape 4"/>
        <xdr:cNvSpPr/>
      </xdr:nvSpPr>
      <xdr:spPr>
        <a:xfrm>
          <a:off x="2862050" y="1971400"/>
          <a:ext cx="1311000" cy="52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Reset 3</a:t>
          </a:r>
          <a:endParaRPr sz="1400"/>
        </a:p>
      </xdr:txBody>
    </xdr:sp>
    <xdr:clientData fLocksWithSheet="0"/>
  </xdr:oneCellAnchor>
  <xdr:oneCellAnchor>
    <xdr:from>
      <xdr:col>4</xdr:col>
      <xdr:colOff>561975</xdr:colOff>
      <xdr:row>20</xdr:row>
      <xdr:rowOff>180975</xdr:rowOff>
    </xdr:from>
    <xdr:ext cx="1333500" cy="542925"/>
    <xdr:sp>
      <xdr:nvSpPr>
        <xdr:cNvPr id="5" name="Shape 5"/>
        <xdr:cNvSpPr/>
      </xdr:nvSpPr>
      <xdr:spPr>
        <a:xfrm>
          <a:off x="2862050" y="1971400"/>
          <a:ext cx="1311000" cy="52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Copy from 2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20</xdr:row>
      <xdr:rowOff>180975</xdr:rowOff>
    </xdr:from>
    <xdr:ext cx="1333500" cy="542925"/>
    <xdr:sp>
      <xdr:nvSpPr>
        <xdr:cNvPr id="6" name="Shape 6"/>
        <xdr:cNvSpPr/>
      </xdr:nvSpPr>
      <xdr:spPr>
        <a:xfrm>
          <a:off x="2862050" y="1971400"/>
          <a:ext cx="1311000" cy="52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Copy from 3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2" t="s">
        <v>1</v>
      </c>
    </row>
    <row r="4">
      <c r="G4" s="3" t="s">
        <v>2</v>
      </c>
    </row>
    <row r="8">
      <c r="G8" s="4"/>
      <c r="H8" s="4"/>
    </row>
    <row r="9">
      <c r="G9" s="4"/>
      <c r="H9" s="4"/>
    </row>
    <row r="10">
      <c r="G10" s="4"/>
      <c r="H10" s="4"/>
    </row>
    <row r="11">
      <c r="G11" s="4"/>
      <c r="H11" s="4"/>
    </row>
    <row r="12">
      <c r="G12" s="4"/>
      <c r="H12" s="4"/>
    </row>
    <row r="13">
      <c r="G13" s="4"/>
      <c r="H13" s="4"/>
    </row>
    <row r="14">
      <c r="G14" s="4"/>
      <c r="H14" s="4"/>
    </row>
    <row r="15">
      <c r="G15" s="4"/>
      <c r="H15" s="4"/>
    </row>
    <row r="16">
      <c r="G16" s="4"/>
      <c r="H16" s="4"/>
    </row>
    <row r="17">
      <c r="G17" s="4"/>
      <c r="H17" s="4"/>
    </row>
    <row r="18">
      <c r="G18" s="4"/>
      <c r="H18" s="4"/>
    </row>
    <row r="19">
      <c r="G19" s="4"/>
      <c r="H19" s="4"/>
    </row>
    <row r="20">
      <c r="G20" s="4"/>
      <c r="H20" s="4"/>
    </row>
    <row r="21">
      <c r="G21" s="4"/>
      <c r="H21" s="4"/>
    </row>
    <row r="22">
      <c r="G22" s="4"/>
      <c r="H22" s="4"/>
    </row>
    <row r="23">
      <c r="G23" s="4"/>
      <c r="H23" s="4"/>
    </row>
    <row r="24">
      <c r="G24" s="4"/>
      <c r="H24" s="4"/>
    </row>
  </sheetData>
  <mergeCells count="3">
    <mergeCell ref="A1:F24"/>
    <mergeCell ref="G1:H3"/>
    <mergeCell ref="G4:H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</cols>
  <sheetData>
    <row r="1">
      <c r="A1" s="5" t="s">
        <v>3</v>
      </c>
      <c r="B1" s="6"/>
      <c r="C1" s="7"/>
      <c r="D1" s="8" t="str">
        <f>'Profile 1'!$C10</f>
        <v>Ranged</v>
      </c>
      <c r="E1" s="9"/>
      <c r="F1" s="5" t="s">
        <v>4</v>
      </c>
      <c r="G1" s="6"/>
      <c r="H1" s="7"/>
      <c r="I1" s="8" t="str">
        <f>'Profile 2'!$C10</f>
        <v>Ranged</v>
      </c>
      <c r="J1" s="10"/>
      <c r="K1" s="5" t="s">
        <v>5</v>
      </c>
      <c r="L1" s="6"/>
      <c r="M1" s="7"/>
      <c r="N1" s="8" t="str">
        <f>'Profile 3'!$C10</f>
        <v>Ranged</v>
      </c>
      <c r="O1" s="10"/>
      <c r="P1" s="10"/>
      <c r="Q1" s="10"/>
      <c r="R1" s="10"/>
    </row>
    <row r="2">
      <c r="A2" s="11" t="s">
        <v>6</v>
      </c>
      <c r="B2" s="12">
        <f>'Profile 1'!$C20</f>
        <v>1005477</v>
      </c>
      <c r="C2" s="11" t="s">
        <v>7</v>
      </c>
      <c r="D2" s="13">
        <f t="shared" ref="D2:D3" si="1">B2+$D20+(B2*($B23/100))</f>
        <v>1025177</v>
      </c>
      <c r="E2" s="10" t="str">
        <f t="shared" ref="E2:E3" si="2">IF(D2&gt;=1000000000,
IF(D2/1000000000&gt;=100,TEXT(D2/1000000000,"0")&amp;"B",
IF(D2/1000000000&gt;=10,TEXT(D2/1000000000,"0.0")&amp;"B",
TEXT(D2/1000000000,"0.00")&amp;"B")),
IF(D2&gt;=1000000,
IF(D2/1000000&gt;=100,TEXT(D2/1000000,"0")&amp;"M",
IF(D2/1000000&gt;=10,TEXT(D2/1000000,"0.0")&amp;"M",
TEXT(D2/1000000,"0.00")&amp;"M")),
IF(D2&gt;=1000,
IF(D2/1000&gt;=100,TEXT(D2/1000,"0")&amp;"K",
IF(D2/1000&gt;=10,TEXT(D2/1000,"0.0")&amp;"K",
TEXT(D2/1000,"0.00")&amp;"K")),
TEXT(D2,"0"))))</f>
        <v>1.03M</v>
      </c>
      <c r="F2" s="11" t="s">
        <v>6</v>
      </c>
      <c r="G2" s="12">
        <f>'Profile 2'!$C20</f>
        <v>1005477</v>
      </c>
      <c r="H2" s="11" t="s">
        <v>7</v>
      </c>
      <c r="I2" s="13">
        <f t="shared" ref="I2:I3" si="3">G2+$D20+(G2*($B23/100))</f>
        <v>1025177</v>
      </c>
      <c r="J2" s="10" t="str">
        <f t="shared" ref="J2:J3" si="4">IF(I2&gt;=1000000000,
IF(I2/1000000000&gt;=100,TEXT(I2/1000000000,"0")&amp;"B",
IF(I2/1000000000&gt;=10,TEXT(I2/1000000000,"0.0")&amp;"B",
TEXT(I2/1000000000,"0.00")&amp;"B")),
IF(I2&gt;=1000000,
IF(I2/1000000&gt;=100,TEXT(I2/1000000,"0")&amp;"M",
IF(I2/1000000&gt;=10,TEXT(I2/1000000,"0.0")&amp;"M",
TEXT(I2/1000000,"0.00")&amp;"M")),
IF(I2&gt;=1000,
IF(I2/1000&gt;=100,TEXT(I2/1000,"0")&amp;"K",
IF(I2/1000&gt;=10,TEXT(I2/1000,"0.0")&amp;"K",
TEXT(I2/1000,"0.00")&amp;"K")),
TEXT(I2,"0"))))</f>
        <v>1.03M</v>
      </c>
      <c r="K2" s="11" t="s">
        <v>6</v>
      </c>
      <c r="L2" s="12">
        <f>'Profile 3'!$C20</f>
        <v>1005477</v>
      </c>
      <c r="M2" s="11" t="s">
        <v>7</v>
      </c>
      <c r="N2" s="13">
        <f t="shared" ref="N2:N3" si="5">L2+$D20+(L2*($B23/100))</f>
        <v>1025177</v>
      </c>
      <c r="O2" s="10" t="str">
        <f t="shared" ref="O2:O3" si="6">IF(N2&gt;=1000000000,
IF(N2/1000000000&gt;=100,TEXT(N2/1000000000,"0")&amp;"B",
IF(N2/1000000000&gt;=10,TEXT(N2/1000000000,"0.0")&amp;"B",
TEXT(N2/1000000000,"0.00")&amp;"B")),
IF(N2&gt;=1000000,
IF(N2/1000000&gt;=100,TEXT(N2/1000000,"0")&amp;"M",
IF(N2/1000000&gt;=10,TEXT(N2/1000000,"0.0")&amp;"M",
TEXT(N2/1000000,"0.00")&amp;"M")),
IF(N2&gt;=1000,
IF(N2/1000&gt;=100,TEXT(N2/1000,"0")&amp;"K",
IF(N2/1000&gt;=10,TEXT(N2/1000,"0.0")&amp;"K",
TEXT(N2/1000,"0.00")&amp;"K")),
TEXT(N2,"0"))))</f>
        <v>1.03M</v>
      </c>
      <c r="P2" s="10"/>
      <c r="Q2" s="10"/>
      <c r="R2" s="10"/>
    </row>
    <row r="3">
      <c r="A3" s="11" t="s">
        <v>8</v>
      </c>
      <c r="B3" s="12">
        <f>'Profile 1'!$D20</f>
        <v>5623810</v>
      </c>
      <c r="C3" s="11" t="s">
        <v>9</v>
      </c>
      <c r="D3" s="13">
        <f t="shared" si="1"/>
        <v>5838048.1</v>
      </c>
      <c r="E3" s="10" t="str">
        <f t="shared" si="2"/>
        <v>5.84M</v>
      </c>
      <c r="F3" s="11" t="s">
        <v>8</v>
      </c>
      <c r="G3" s="12">
        <f>'Profile 2'!$D20</f>
        <v>5623810</v>
      </c>
      <c r="H3" s="11" t="s">
        <v>9</v>
      </c>
      <c r="I3" s="13">
        <f t="shared" si="3"/>
        <v>5838048.1</v>
      </c>
      <c r="J3" s="10" t="str">
        <f t="shared" si="4"/>
        <v>5.84M</v>
      </c>
      <c r="K3" s="11" t="s">
        <v>8</v>
      </c>
      <c r="L3" s="12">
        <f>'Profile 3'!$D20</f>
        <v>5623810</v>
      </c>
      <c r="M3" s="11" t="s">
        <v>9</v>
      </c>
      <c r="N3" s="13">
        <f t="shared" si="5"/>
        <v>5838048.1</v>
      </c>
      <c r="O3" s="10" t="str">
        <f t="shared" si="6"/>
        <v>5.84M</v>
      </c>
      <c r="P3" s="10"/>
      <c r="Q3" s="10"/>
      <c r="R3" s="10"/>
    </row>
    <row r="4">
      <c r="A4" s="14" t="s">
        <v>10</v>
      </c>
      <c r="B4" s="15">
        <f>'Profile 1'!$B19</f>
        <v>0</v>
      </c>
      <c r="C4" s="16" t="s">
        <v>11</v>
      </c>
      <c r="D4" s="17">
        <f>D2+(D2*(B10/100))+IF(D1="Melee", (D2*(B11/100)), (D2*(B12/100)))</f>
        <v>1639668.094</v>
      </c>
      <c r="E4" s="10"/>
      <c r="F4" s="14" t="s">
        <v>10</v>
      </c>
      <c r="G4" s="15">
        <f>'Profile 2'!$B19</f>
        <v>0</v>
      </c>
      <c r="H4" s="16" t="s">
        <v>11</v>
      </c>
      <c r="I4" s="17">
        <f>I2+(I2*(G10/100))+IF(I1="Melee", (I2*(G11/100)), (I2*(G12/100)))</f>
        <v>1639668.094</v>
      </c>
      <c r="J4" s="10"/>
      <c r="K4" s="14" t="s">
        <v>10</v>
      </c>
      <c r="L4" s="15">
        <f>'Profile 3'!$B19</f>
        <v>0</v>
      </c>
      <c r="M4" s="16" t="s">
        <v>11</v>
      </c>
      <c r="N4" s="17">
        <f>N2+(N2*(L10/100))+IF(N1="Melee", (N2*(L11/100)), (N2*(L12/100)))</f>
        <v>1639668.094</v>
      </c>
      <c r="O4" s="10"/>
      <c r="P4" s="10"/>
      <c r="Q4" s="10"/>
      <c r="R4" s="10"/>
    </row>
    <row r="5">
      <c r="A5" s="14" t="s">
        <v>12</v>
      </c>
      <c r="B5" s="15">
        <f>'Profile 1'!$B20</f>
        <v>0</v>
      </c>
      <c r="C5" s="18" t="s">
        <v>13</v>
      </c>
      <c r="D5" s="17">
        <f>D3+(D3*(B14/100))</f>
        <v>5838048.1</v>
      </c>
      <c r="E5" s="10"/>
      <c r="F5" s="14" t="s">
        <v>12</v>
      </c>
      <c r="G5" s="15">
        <f>'Profile 2'!$B20</f>
        <v>0</v>
      </c>
      <c r="H5" s="18" t="s">
        <v>13</v>
      </c>
      <c r="I5" s="17">
        <f>I3+(I3*(G14/100))</f>
        <v>5838048.1</v>
      </c>
      <c r="J5" s="10"/>
      <c r="K5" s="14" t="s">
        <v>12</v>
      </c>
      <c r="L5" s="15">
        <f>'Profile 3'!$B20</f>
        <v>0</v>
      </c>
      <c r="M5" s="18" t="s">
        <v>13</v>
      </c>
      <c r="N5" s="17">
        <f>N3+(N3*(L14/100))</f>
        <v>5838048.1</v>
      </c>
      <c r="O5" s="10"/>
      <c r="P5" s="10"/>
      <c r="Q5" s="10"/>
      <c r="R5" s="10"/>
    </row>
    <row r="6">
      <c r="A6" s="14" t="s">
        <v>14</v>
      </c>
      <c r="B6" s="15">
        <f>'Profile 1'!$B21</f>
        <v>0</v>
      </c>
      <c r="C6" s="10"/>
      <c r="D6" s="19"/>
      <c r="E6" s="10"/>
      <c r="F6" s="14" t="s">
        <v>14</v>
      </c>
      <c r="G6" s="15">
        <f>'Profile 2'!$B21</f>
        <v>0</v>
      </c>
      <c r="H6" s="10"/>
      <c r="I6" s="19"/>
      <c r="J6" s="10"/>
      <c r="K6" s="14" t="s">
        <v>14</v>
      </c>
      <c r="L6" s="15">
        <f>'Profile 3'!$B21</f>
        <v>0</v>
      </c>
      <c r="M6" s="10"/>
      <c r="N6" s="19"/>
      <c r="O6" s="10"/>
      <c r="P6" s="10"/>
      <c r="Q6" s="10"/>
      <c r="R6" s="10"/>
    </row>
    <row r="7">
      <c r="A7" s="14" t="s">
        <v>15</v>
      </c>
      <c r="B7" s="15">
        <f>'Profile 1'!$B22</f>
        <v>0</v>
      </c>
      <c r="C7" s="10"/>
      <c r="D7" s="19"/>
      <c r="E7" s="10"/>
      <c r="F7" s="14" t="s">
        <v>15</v>
      </c>
      <c r="G7" s="15">
        <f>'Profile 2'!$B22</f>
        <v>0</v>
      </c>
      <c r="H7" s="10"/>
      <c r="I7" s="19"/>
      <c r="J7" s="10"/>
      <c r="K7" s="14" t="s">
        <v>15</v>
      </c>
      <c r="L7" s="15">
        <f>'Profile 3'!$B22</f>
        <v>0</v>
      </c>
      <c r="M7" s="10"/>
      <c r="N7" s="19"/>
      <c r="O7" s="10"/>
      <c r="P7" s="10"/>
      <c r="Q7" s="10"/>
      <c r="R7" s="10"/>
    </row>
    <row r="8">
      <c r="A8" s="14" t="s">
        <v>16</v>
      </c>
      <c r="B8" s="15">
        <f>'Profile 1'!$B23</f>
        <v>44.79</v>
      </c>
      <c r="C8" s="10"/>
      <c r="D8" s="10"/>
      <c r="E8" s="10"/>
      <c r="F8" s="14" t="s">
        <v>16</v>
      </c>
      <c r="G8" s="15">
        <f>'Profile 2'!$B23</f>
        <v>44.79</v>
      </c>
      <c r="H8" s="10"/>
      <c r="I8" s="10"/>
      <c r="J8" s="10"/>
      <c r="K8" s="14" t="s">
        <v>16</v>
      </c>
      <c r="L8" s="15">
        <f>'Profile 3'!$B23</f>
        <v>44.79</v>
      </c>
      <c r="M8" s="10"/>
      <c r="N8" s="10"/>
      <c r="O8" s="10"/>
      <c r="P8" s="10"/>
      <c r="Q8" s="10"/>
      <c r="R8" s="10"/>
    </row>
    <row r="9">
      <c r="A9" s="14" t="s">
        <v>17</v>
      </c>
      <c r="B9" s="15">
        <f>'Profile 1'!$B24</f>
        <v>65.75</v>
      </c>
      <c r="C9" s="10"/>
      <c r="D9" s="10"/>
      <c r="E9" s="10"/>
      <c r="F9" s="14" t="s">
        <v>17</v>
      </c>
      <c r="G9" s="15">
        <f>'Profile 2'!$B24</f>
        <v>65.75</v>
      </c>
      <c r="H9" s="10"/>
      <c r="I9" s="10"/>
      <c r="J9" s="10"/>
      <c r="K9" s="14" t="s">
        <v>17</v>
      </c>
      <c r="L9" s="15">
        <f>'Profile 3'!$B24</f>
        <v>65.75</v>
      </c>
      <c r="M9" s="10"/>
      <c r="N9" s="10"/>
      <c r="O9" s="10"/>
      <c r="P9" s="10"/>
      <c r="Q9" s="10"/>
      <c r="R9" s="10"/>
    </row>
    <row r="10">
      <c r="A10" s="18" t="s">
        <v>18</v>
      </c>
      <c r="B10" s="15">
        <f>'Profile 1'!$B27</f>
        <v>40.3</v>
      </c>
      <c r="C10" s="10"/>
      <c r="D10" s="10"/>
      <c r="E10" s="10"/>
      <c r="F10" s="18" t="s">
        <v>18</v>
      </c>
      <c r="G10" s="15">
        <f>'Profile 2'!$B27</f>
        <v>40.3</v>
      </c>
      <c r="H10" s="10"/>
      <c r="I10" s="10"/>
      <c r="J10" s="10"/>
      <c r="K10" s="18" t="s">
        <v>18</v>
      </c>
      <c r="L10" s="15">
        <f>'Profile 3'!$B27</f>
        <v>40.3</v>
      </c>
      <c r="M10" s="10"/>
      <c r="N10" s="10"/>
      <c r="O10" s="10"/>
      <c r="P10" s="10"/>
      <c r="Q10" s="10"/>
      <c r="R10" s="10"/>
    </row>
    <row r="11">
      <c r="A11" s="18" t="s">
        <v>19</v>
      </c>
      <c r="B11" s="15">
        <f>'Profile 1'!$B25</f>
        <v>0</v>
      </c>
      <c r="C11" s="10"/>
      <c r="D11" s="10"/>
      <c r="E11" s="10"/>
      <c r="F11" s="18" t="s">
        <v>19</v>
      </c>
      <c r="G11" s="15">
        <f>'Profile 2'!$B25</f>
        <v>0</v>
      </c>
      <c r="H11" s="10"/>
      <c r="I11" s="10"/>
      <c r="J11" s="10"/>
      <c r="K11" s="18" t="s">
        <v>19</v>
      </c>
      <c r="L11" s="15">
        <f>'Profile 3'!$B25</f>
        <v>0</v>
      </c>
      <c r="M11" s="10"/>
      <c r="N11" s="10"/>
      <c r="O11" s="10"/>
      <c r="P11" s="10"/>
      <c r="Q11" s="10"/>
      <c r="R11" s="10"/>
    </row>
    <row r="12">
      <c r="A12" s="18" t="s">
        <v>20</v>
      </c>
      <c r="B12" s="15">
        <f>'Profile 1'!$B26</f>
        <v>19.64</v>
      </c>
      <c r="C12" s="10"/>
      <c r="D12" s="10"/>
      <c r="E12" s="10"/>
      <c r="F12" s="18" t="s">
        <v>20</v>
      </c>
      <c r="G12" s="15">
        <f>'Profile 2'!$B26</f>
        <v>19.64</v>
      </c>
      <c r="H12" s="10"/>
      <c r="I12" s="10"/>
      <c r="J12" s="10"/>
      <c r="K12" s="18" t="s">
        <v>20</v>
      </c>
      <c r="L12" s="15">
        <f>'Profile 3'!$B26</f>
        <v>19.64</v>
      </c>
      <c r="M12" s="10"/>
      <c r="N12" s="10"/>
      <c r="O12" s="10"/>
      <c r="P12" s="10"/>
      <c r="Q12" s="10"/>
      <c r="R12" s="10"/>
    </row>
    <row r="13">
      <c r="A13" s="14" t="s">
        <v>21</v>
      </c>
      <c r="B13" s="15">
        <f>'Profile 1'!$B28</f>
        <v>74.38</v>
      </c>
      <c r="C13" s="10"/>
      <c r="D13" s="10"/>
      <c r="E13" s="10"/>
      <c r="F13" s="14" t="s">
        <v>21</v>
      </c>
      <c r="G13" s="15">
        <f>'Profile 2'!$B28</f>
        <v>74.38</v>
      </c>
      <c r="H13" s="10"/>
      <c r="I13" s="10"/>
      <c r="J13" s="10"/>
      <c r="K13" s="14" t="s">
        <v>21</v>
      </c>
      <c r="L13" s="15">
        <f>'Profile 3'!$B28</f>
        <v>74.38</v>
      </c>
      <c r="M13" s="10"/>
      <c r="N13" s="10"/>
      <c r="O13" s="10"/>
      <c r="P13" s="10"/>
      <c r="Q13" s="10"/>
      <c r="R13" s="10"/>
    </row>
    <row r="14">
      <c r="A14" s="18" t="s">
        <v>22</v>
      </c>
      <c r="B14" s="15">
        <f>'Profile 1'!$B29</f>
        <v>0</v>
      </c>
      <c r="C14" s="10"/>
      <c r="D14" s="10"/>
      <c r="E14" s="10"/>
      <c r="F14" s="18" t="s">
        <v>22</v>
      </c>
      <c r="G14" s="15">
        <f>'Profile 2'!$B29</f>
        <v>0</v>
      </c>
      <c r="H14" s="10"/>
      <c r="I14" s="10"/>
      <c r="J14" s="10"/>
      <c r="K14" s="18" t="s">
        <v>22</v>
      </c>
      <c r="L14" s="15">
        <f>'Profile 3'!$B29</f>
        <v>0</v>
      </c>
      <c r="M14" s="10"/>
      <c r="N14" s="10"/>
      <c r="O14" s="10"/>
      <c r="P14" s="10"/>
      <c r="Q14" s="10"/>
      <c r="R14" s="10"/>
    </row>
    <row r="15">
      <c r="A15" s="14" t="s">
        <v>23</v>
      </c>
      <c r="B15" s="15">
        <f>'Profile 1'!$B30</f>
        <v>2.29</v>
      </c>
      <c r="C15" s="10"/>
      <c r="D15" s="10"/>
      <c r="E15" s="10"/>
      <c r="F15" s="14" t="s">
        <v>23</v>
      </c>
      <c r="G15" s="15">
        <f>'Profile 2'!$B30</f>
        <v>2.29</v>
      </c>
      <c r="H15" s="10"/>
      <c r="I15" s="10"/>
      <c r="J15" s="10"/>
      <c r="K15" s="14" t="s">
        <v>23</v>
      </c>
      <c r="L15" s="15">
        <f>'Profile 3'!$B30</f>
        <v>2.29</v>
      </c>
      <c r="M15" s="10"/>
      <c r="N15" s="10"/>
      <c r="O15" s="10"/>
      <c r="P15" s="10"/>
      <c r="Q15" s="10"/>
      <c r="R15" s="10"/>
    </row>
    <row r="16">
      <c r="A16" s="14" t="s">
        <v>24</v>
      </c>
      <c r="B16" s="15">
        <f>'Profile 1'!$B31</f>
        <v>15.74</v>
      </c>
      <c r="C16" s="10"/>
      <c r="D16" s="10"/>
      <c r="E16" s="10"/>
      <c r="F16" s="14" t="s">
        <v>24</v>
      </c>
      <c r="G16" s="15">
        <f>'Profile 2'!$B31</f>
        <v>15.74</v>
      </c>
      <c r="H16" s="10"/>
      <c r="I16" s="10"/>
      <c r="J16" s="10"/>
      <c r="K16" s="14" t="s">
        <v>24</v>
      </c>
      <c r="L16" s="15">
        <f>'Profile 3'!$B31</f>
        <v>15.74</v>
      </c>
      <c r="M16" s="10"/>
      <c r="N16" s="10"/>
      <c r="O16" s="10"/>
      <c r="P16" s="10"/>
      <c r="Q16" s="10"/>
      <c r="R16" s="10"/>
    </row>
    <row r="17">
      <c r="C17" s="10"/>
      <c r="D17" s="10"/>
      <c r="E17" s="10"/>
      <c r="L17" s="10"/>
      <c r="M17" s="10"/>
      <c r="N17" s="10"/>
      <c r="O17" s="10"/>
      <c r="P17" s="10"/>
      <c r="Q17" s="10"/>
      <c r="R17" s="10"/>
    </row>
    <row r="18">
      <c r="D18" s="10"/>
      <c r="E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>
      <c r="A19" s="20" t="s">
        <v>25</v>
      </c>
      <c r="B19" s="21"/>
      <c r="C19" s="21"/>
      <c r="D19" s="2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20" t="s">
        <v>26</v>
      </c>
      <c r="B20" s="22">
        <v>19.7</v>
      </c>
      <c r="C20" s="23" t="s">
        <v>27</v>
      </c>
      <c r="D20" s="24">
        <f t="shared" ref="D20:D21" si="7">If(or(C20="k",C20="m"),if(C20="k",B20*1000,B20*1000000),B20*1000000000)</f>
        <v>19700</v>
      </c>
      <c r="H20" s="10"/>
      <c r="I20" s="9" t="s">
        <v>28</v>
      </c>
      <c r="J20" s="25">
        <f>Regenlifestealdps!D15</f>
        <v>0</v>
      </c>
      <c r="K20" s="25">
        <f>Regenlifestealdps!D16</f>
        <v>0</v>
      </c>
      <c r="L20" s="25">
        <f>Regenlifestealdps!D17</f>
        <v>0</v>
      </c>
      <c r="M20" s="10"/>
      <c r="N20" s="10"/>
      <c r="O20" s="10"/>
      <c r="P20" s="10"/>
      <c r="Q20" s="10"/>
      <c r="R20" s="10"/>
    </row>
    <row r="21">
      <c r="A21" s="20" t="s">
        <v>29</v>
      </c>
      <c r="B21" s="22">
        <v>158.0</v>
      </c>
      <c r="C21" s="23" t="s">
        <v>27</v>
      </c>
      <c r="D21" s="24">
        <f t="shared" si="7"/>
        <v>158000</v>
      </c>
      <c r="H21" s="10"/>
      <c r="K21" s="26" t="str">
        <f>K20/J20</f>
        <v>#DIV/0!</v>
      </c>
      <c r="L21" s="26" t="str">
        <f>L20/J20</f>
        <v>#DIV/0!</v>
      </c>
      <c r="M21" s="10"/>
      <c r="N21" s="10"/>
      <c r="O21" s="10"/>
      <c r="P21" s="10"/>
      <c r="Q21" s="10"/>
      <c r="R21" s="10"/>
    </row>
    <row r="22">
      <c r="A22" s="20" t="s">
        <v>30</v>
      </c>
      <c r="B22" s="20" t="s">
        <v>31</v>
      </c>
      <c r="H22" s="10"/>
      <c r="I22" s="9" t="s">
        <v>32</v>
      </c>
      <c r="J22" s="25">
        <f>Regenlifestealdps!G24</f>
        <v>1106618</v>
      </c>
      <c r="K22" s="25">
        <f>Regenlifestealdps!H24</f>
        <v>1106618</v>
      </c>
      <c r="L22" s="25">
        <f>Regenlifestealdps!I24</f>
        <v>1106618</v>
      </c>
      <c r="M22" s="10"/>
      <c r="N22" s="10"/>
      <c r="O22" s="10"/>
      <c r="P22" s="10"/>
      <c r="Q22" s="10"/>
      <c r="R22" s="10"/>
    </row>
    <row r="23">
      <c r="A23" s="20" t="s">
        <v>33</v>
      </c>
      <c r="B23" s="22">
        <v>0.0</v>
      </c>
      <c r="H23" s="10"/>
      <c r="K23" s="26">
        <f>K22/J22</f>
        <v>1</v>
      </c>
      <c r="L23" s="26">
        <f>L22/J22</f>
        <v>1</v>
      </c>
      <c r="M23" s="10"/>
      <c r="N23" s="10"/>
      <c r="O23" s="10"/>
      <c r="P23" s="10"/>
      <c r="Q23" s="10"/>
      <c r="R23" s="10"/>
    </row>
    <row r="24">
      <c r="A24" s="20" t="s">
        <v>34</v>
      </c>
      <c r="B24" s="22">
        <v>1.0</v>
      </c>
      <c r="H24" s="10"/>
      <c r="I24" s="9" t="s">
        <v>35</v>
      </c>
      <c r="J24" s="25">
        <f>Regenlifestealdps!G25</f>
        <v>2470681.696</v>
      </c>
      <c r="K24" s="25">
        <f>Regenlifestealdps!H25</f>
        <v>2470681.696</v>
      </c>
      <c r="L24" s="25">
        <f>Regenlifestealdps!I25</f>
        <v>2470681.696</v>
      </c>
      <c r="M24" s="10"/>
      <c r="N24" s="10"/>
      <c r="O24" s="10"/>
      <c r="P24" s="10"/>
      <c r="Q24" s="10"/>
      <c r="R24" s="10"/>
    </row>
    <row r="25">
      <c r="H25" s="10"/>
      <c r="K25" s="26">
        <f>K24/J24</f>
        <v>1</v>
      </c>
      <c r="L25" s="26">
        <f>L24/J24</f>
        <v>1</v>
      </c>
      <c r="M25" s="10"/>
      <c r="N25" s="10"/>
      <c r="O25" s="10"/>
      <c r="P25" s="10"/>
      <c r="Q25" s="10"/>
      <c r="R25" s="10"/>
    </row>
    <row r="26">
      <c r="H26" s="10"/>
      <c r="I26" s="9" t="s">
        <v>36</v>
      </c>
      <c r="J26" s="25">
        <f t="shared" ref="J26:L26" si="8">J20+J22</f>
        <v>1106618</v>
      </c>
      <c r="K26" s="25">
        <f t="shared" si="8"/>
        <v>1106618</v>
      </c>
      <c r="L26" s="25">
        <f t="shared" si="8"/>
        <v>1106618</v>
      </c>
      <c r="M26" s="10"/>
      <c r="N26" s="10"/>
      <c r="O26" s="10"/>
      <c r="P26" s="10"/>
      <c r="Q26" s="10"/>
      <c r="R26" s="10"/>
    </row>
    <row r="27">
      <c r="D27" s="10"/>
      <c r="E27" s="10"/>
      <c r="F27" s="10"/>
      <c r="G27" s="10"/>
      <c r="H27" s="10"/>
      <c r="I27" s="10"/>
      <c r="J27" s="10"/>
      <c r="K27" s="26">
        <f>K26/J26</f>
        <v>1</v>
      </c>
      <c r="L27" s="26">
        <f>L26/J26</f>
        <v>1</v>
      </c>
      <c r="M27" s="10"/>
      <c r="N27" s="10"/>
      <c r="O27" s="10"/>
      <c r="P27" s="10"/>
      <c r="Q27" s="10"/>
      <c r="R27" s="10"/>
    </row>
    <row r="28"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9" t="s">
        <v>37</v>
      </c>
      <c r="B50" s="27">
        <v>21.0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28" t="s">
        <v>38</v>
      </c>
      <c r="B52" s="29">
        <f>If(B50=1,100,if(B50=2,99,if(B50=3,98,if(B50=4,96,if(B50=5,91.5,if(B50=6,82,if(B50=7,64,if(B50=8,27.8,if(B50=9,13,if(B50=10,6,0))))))))))</f>
        <v>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28" t="s">
        <v>39</v>
      </c>
      <c r="B53" s="29">
        <f>If(B50=2,1,if(B50=3,2,if(B50=4,4,if(B50=5,8,if(B50=6,16,if(B50=7,32,if(B50=8,64,if(B50=9,70,if(B50=10,60,if(B50=11,31.9,if(B50=12,27.5,if(B50=13,8,0))))))))))))</f>
        <v>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28" t="s">
        <v>40</v>
      </c>
      <c r="B54" s="29">
        <f>If(B50=5,0.5,if(B50=6,2,if(B50=7,4,if(B50=8,8,if(B50=9,16,if(B50=10,32,if(or(B50=11,B50=12),64,if(B50=13,75,if(B50=14,66,if(B50=15,31.75,if(B50=16,21.5,0)))))))))))</f>
        <v>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28" t="s">
        <v>41</v>
      </c>
      <c r="B55" s="29">
        <f>if(B50=8,0.2,if(B50=9,1,if(B50=10,2,if(B50=11,4,if(B50=12,8,if(B50=13,16,if(B50=14,32,if(B50=15,64,if(B50=16,70,if(B50=17,82.95,if(B50=18,65.75,if(B50=19,31.5,0))))))))))))</f>
        <v>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28" t="s">
        <v>42</v>
      </c>
      <c r="B56" s="29">
        <f>if(B50=11,0.1,if(B50=12,0.5,if(B50=13,1,if(B50=14,2,if(B50=15,4,if(B50=16,8,if(B50=17,16,if(B50=18,32,if(B50=19,64,if(B50=20,91,if(B50=21,81.75,if(B50=22,63.5,if(B50=23,27,0)))))))))))))</f>
        <v>81.75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9" t="s">
        <v>43</v>
      </c>
      <c r="B57" s="29">
        <f>if(B50=14,0.05,if(B50=15,0.25,if(B50=16,0.5,if(B50=17,1,if(B50=18,2,if(B50=19,4,if(B50=20,8,if(B50=21,16,if(B50=22,32,if(B50=23,64,if(B50=24,81.99,if(B50=25,63.95,if(B50=26,43.75,if(B50=27,31.5,if(B50=28,21,if(B50=29,7,0))))))))))))))))</f>
        <v>16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28" t="s">
        <v>44</v>
      </c>
      <c r="B58" s="29">
        <f>if(B50=17,0.05,if(B50=18,0.25,if(B50=19,0.5,if(B50=20,1,if(B50=21,2,if(B50=22,4,if(B50=23,8,if(B50=24,16,if(B50=25,32,if(B50=26,50,if(B50=27,60,if(B50=28,65,if(B50=29,68,if(B50=30,59.99,if(B50=31,50.95,if(B50=32,41.75,if(B50=33,28.5,if(B50=34,12,0))))))))))))))))))</f>
        <v>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28" t="s">
        <v>45</v>
      </c>
      <c r="B59" s="29">
        <f>if(B50=20,0.05,if(B50=21,0.25,if(B50=22,0.5,if(B50=23,1,if(B50=24,2,if(B50=25,4,if(B50=26,6,if(B50=27,8,if(B50=28,13,if(B50=29,23,if(B50=30,36,if(B50=31,43,if(B50=32,50,if(B50=33,58,if(B50=34,64,if(B50=35,62,0))))))))))))))))</f>
        <v>0.25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28" t="s">
        <v>46</v>
      </c>
      <c r="B60" s="29">
        <f>if(B50=24,0.01,if(B50=25,0.05,if(B50=26,0.25,if(B50=27,0.5,if(B50=28,1,if(B50=29,2,if(B50=30,4,if(B50=31,6,if(B50=32,8,if(B50=33,13,if(B50=34,23,if(B50=35,36,0))))))))))))</f>
        <v>0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28" t="s">
        <v>47</v>
      </c>
      <c r="B61" s="29">
        <f>if(B50=30,0.01,if(B50=31,0.05,if(B50=32,0.25,if(B50=33,0.5,if(B50=34,1,if(B50=35,2,0))))))</f>
        <v>0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28" t="s">
        <v>48</v>
      </c>
      <c r="B63" s="27">
        <v>2.0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 t="s">
        <v>49</v>
      </c>
      <c r="B66" s="30">
        <v>25.0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 t="s">
        <v>50</v>
      </c>
      <c r="B67" s="31">
        <v>10.0</v>
      </c>
      <c r="C67" s="32">
        <f t="array" ref="C67">xlookup(B66,'Forge Levels'!A2:A35,'Forge Levels'!C2:C35)-(xlookup(B66,'Forge Levels'!A2:A35,'Forge Levels'!C2:C35)*(B67/100))</f>
        <v>18000000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 t="s">
        <v>51</v>
      </c>
      <c r="B68" s="31">
        <v>10.0</v>
      </c>
      <c r="C68" s="33" t="str">
        <f t="array" ref="C68">rounddown((((xlookup(B66,'Forge Levels'!A2:A35,'Forge Levels'!D2:D35)*86400)+(xlookup(B66,'Forge Levels'!A2:A35,'Forge Levels'!E2:E35)*3600)+(xlookup(B66,'Forge Levels'!A2:A35,'Forge Levels'!F2:F35)*60))/((B68/100)+1))/86400,0)&amp;"d:"&amp;rounddown(((((xlookup(B66,'Forge Levels'!A2:A35,'Forge Levels'!D2:D35)*86400)+(xlookup(B66,'Forge Levels'!A2:A35,'Forge Levels'!E2:E35)*3600)+(xlookup(B66,'Forge Levels'!A2:A35,'Forge Levels'!F2:F35)*60))/((B68/100)+1))-(rounddown((((xlookup(B66,'Forge Levels'!A2:A35,'Forge Levels'!D2:D35)*86400)+(xlookup(B66,'Forge Levels'!A2:A35,'Forge Levels'!E2:E35)*3600)+(xlookup(B66,'Forge Levels'!A2:A35,'Forge Levels'!F2:F35)*60))/((B68/100)+1))/86400,0)*86400))/3600,0)&amp;"h:"&amp;rounddown(((((xlookup(B66,'Forge Levels'!A2:A35,'Forge Levels'!D2:D35)*86400)+(xlookup(B66,'Forge Levels'!A2:A35,'Forge Levels'!E2:E35)*3600)+(xlookup(B66,'Forge Levels'!A2:A35,'Forge Levels'!F2:F35)*60))/((B68/100)+1))-(rounddown((((xlookup(B66,'Forge Levels'!A2:A35,'Forge Levels'!D2:D35)*86400)+(xlookup(B66,'Forge Levels'!A2:A35,'Forge Levels'!E2:E35)*3600)+(xlookup(B66,'Forge Levels'!A2:A35,'Forge Levels'!F2:F35)*60))/((B68/100)+1))/3600,0)*3600))/60,0)&amp;"m:"&amp;rounddown(((((xlookup(B66,'Forge Levels'!A2:A35,'Forge Levels'!D2:D35)*86400)+(xlookup(B66,'Forge Levels'!A2:A35,'Forge Levels'!E2:E35)*3600)+(xlookup(B66,'Forge Levels'!A2:A35,'Forge Levels'!F2:F35)*60))/((B68/100)+1))-(rounddown((((xlookup(B66,'Forge Levels'!A2:A35,'Forge Levels'!D2:D35)*86400)+(xlookup(B66,'Forge Levels'!A2:A35,'Forge Levels'!E2:E35)*3600)+(xlookup(B66,'Forge Levels'!A2:A35,'Forge Levels'!F2:F35)*60))/((B68/100)+1))/60,0)*60))/86400,0)&amp;"s"</f>
        <v>13d:7h:5m:0s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</sheetData>
  <mergeCells count="3">
    <mergeCell ref="A1:C1"/>
    <mergeCell ref="F1:H1"/>
    <mergeCell ref="K1:M1"/>
  </mergeCells>
  <conditionalFormatting sqref="K21:L21 K23:L23 K25:L25 K27:L27">
    <cfRule type="colorScale" priority="1">
      <colorScale>
        <cfvo type="formula" val="0"/>
        <cfvo type="formula" val="1"/>
        <cfvo type="formula" val="2"/>
        <color rgb="FFE67C73"/>
        <color rgb="FFFFFFFF"/>
        <color rgb="FF57BB8A"/>
      </colorScale>
    </cfRule>
  </conditionalFormatting>
  <dataValidations>
    <dataValidation type="list" allowBlank="1" showErrorMessage="1" sqref="B50">
      <formula1>"1,2,3,4,5,6,7,8,9,10,11,12,13,14,15,16,17,18,19,20,21,22,23,24,25,26,27,28,29,30,31,32,33,34,35"</formula1>
    </dataValidation>
    <dataValidation type="list" allowBlank="1" showErrorMessage="1" sqref="B66">
      <formula1>"1,2,3,4,5,6,7,8,9,10,11,12,13,14,15,16,17,18,19,20,21,22,23,24,25,26,27,28,29,30,31,32,33,34"</formula1>
    </dataValidation>
    <dataValidation type="list" allowBlank="1" showErrorMessage="1" sqref="C20:C21">
      <formula1>"K,M,B"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.13"/>
    <col customWidth="1" min="3" max="3" width="10.38"/>
    <col customWidth="1" min="4" max="4" width="10.25"/>
    <col customWidth="1" min="5" max="5" width="3.5"/>
    <col customWidth="1" min="6" max="6" width="15.63"/>
    <col customWidth="1" min="7" max="7" width="4.25"/>
    <col customWidth="1" min="8" max="8" width="10.38"/>
    <col customWidth="1" min="9" max="9" width="10.25"/>
    <col customWidth="1" min="10" max="10" width="3.0"/>
    <col customWidth="1" min="11" max="11" width="15.63"/>
    <col customWidth="1" min="12" max="12" width="4.25"/>
    <col customWidth="1" min="13" max="13" width="10.38"/>
    <col customWidth="1" min="14" max="14" width="10.25"/>
    <col customWidth="1" min="15" max="15" width="3.25"/>
    <col customWidth="1" min="16" max="16" width="12.25"/>
    <col customWidth="1" min="17" max="17" width="4.25"/>
    <col customWidth="1" min="18" max="18" width="14.5"/>
    <col customWidth="1" min="19" max="19" width="10.25"/>
    <col customWidth="1" min="20" max="20" width="3.0"/>
    <col customWidth="1" min="21" max="21" width="14.88"/>
    <col customWidth="1" min="22" max="22" width="10.25"/>
    <col customWidth="1" min="23" max="23" width="10.38"/>
    <col customWidth="1" min="24" max="24" width="10.25"/>
  </cols>
  <sheetData>
    <row r="1">
      <c r="A1" s="34" t="s">
        <v>52</v>
      </c>
      <c r="B1" s="35"/>
      <c r="C1" s="36" t="s">
        <v>53</v>
      </c>
      <c r="D1" s="37" t="s">
        <v>54</v>
      </c>
      <c r="E1" s="10"/>
      <c r="F1" s="34" t="s">
        <v>55</v>
      </c>
      <c r="G1" s="35"/>
      <c r="H1" s="36" t="s">
        <v>53</v>
      </c>
      <c r="I1" s="37" t="s">
        <v>54</v>
      </c>
      <c r="J1" s="10"/>
      <c r="K1" s="34" t="s">
        <v>56</v>
      </c>
      <c r="L1" s="35"/>
      <c r="M1" s="36" t="s">
        <v>53</v>
      </c>
      <c r="N1" s="37" t="s">
        <v>54</v>
      </c>
      <c r="O1" s="10"/>
      <c r="P1" s="34" t="s">
        <v>57</v>
      </c>
      <c r="Q1" s="35"/>
      <c r="R1" s="36" t="s">
        <v>53</v>
      </c>
      <c r="S1" s="37" t="s">
        <v>54</v>
      </c>
      <c r="T1" s="10"/>
      <c r="U1" s="34" t="s">
        <v>58</v>
      </c>
      <c r="V1" s="35"/>
      <c r="W1" s="36" t="s">
        <v>53</v>
      </c>
      <c r="X1" s="37" t="s">
        <v>54</v>
      </c>
    </row>
    <row r="2">
      <c r="A2" s="38" t="s">
        <v>18</v>
      </c>
      <c r="B2" s="22">
        <v>0.0</v>
      </c>
      <c r="C2" s="23" t="s">
        <v>27</v>
      </c>
      <c r="D2" s="39">
        <f t="shared" ref="D2:D3" si="1">If(or(C2="k",C2="m"),if(C2="k",B2*1000,B2*1000000),B2*1000000000)</f>
        <v>0</v>
      </c>
      <c r="E2" s="10"/>
      <c r="F2" s="38" t="s">
        <v>18</v>
      </c>
      <c r="G2" s="22">
        <v>0.0</v>
      </c>
      <c r="H2" s="23" t="s">
        <v>27</v>
      </c>
      <c r="I2" s="39">
        <f t="shared" ref="I2:I3" si="2">If(or(H2="k",H2="m"),if(H2="k",G2*1000,G2*1000000),G2*1000000000)</f>
        <v>0</v>
      </c>
      <c r="J2" s="10"/>
      <c r="K2" s="38" t="s">
        <v>18</v>
      </c>
      <c r="L2" s="22">
        <v>116.0</v>
      </c>
      <c r="M2" s="23" t="s">
        <v>27</v>
      </c>
      <c r="N2" s="39">
        <f t="shared" ref="N2:N3" si="3">If(or(M2="k",M2="m"),if(M2="k",L2*1000,L2*1000000),L2*1000000000)</f>
        <v>116000</v>
      </c>
      <c r="O2" s="10"/>
      <c r="P2" s="38" t="s">
        <v>18</v>
      </c>
      <c r="Q2" s="22">
        <v>64.0</v>
      </c>
      <c r="R2" s="23" t="s">
        <v>27</v>
      </c>
      <c r="S2" s="39">
        <f t="shared" ref="S2:S3" si="4">If(or(R2="k",R2="m"),if(R2="k",Q2*1000,Q2*1000000),Q2*1000000000)</f>
        <v>64000</v>
      </c>
      <c r="T2" s="10"/>
      <c r="U2" s="38" t="s">
        <v>18</v>
      </c>
      <c r="V2" s="22">
        <v>63.0</v>
      </c>
      <c r="W2" s="23" t="s">
        <v>27</v>
      </c>
      <c r="X2" s="39">
        <f t="shared" ref="X2:X3" si="5">If(or(W2="k",W2="m"),if(W2="k",V2*1000,V2*1000000),V2*1000000000)</f>
        <v>63000</v>
      </c>
    </row>
    <row r="3">
      <c r="A3" s="38" t="s">
        <v>22</v>
      </c>
      <c r="B3" s="22">
        <v>1.05</v>
      </c>
      <c r="C3" s="23" t="s">
        <v>59</v>
      </c>
      <c r="D3" s="39">
        <f t="shared" si="1"/>
        <v>1050000</v>
      </c>
      <c r="E3" s="10"/>
      <c r="F3" s="38" t="s">
        <v>22</v>
      </c>
      <c r="G3" s="22">
        <v>767.0</v>
      </c>
      <c r="H3" s="23" t="s">
        <v>27</v>
      </c>
      <c r="I3" s="39">
        <f t="shared" si="2"/>
        <v>767000</v>
      </c>
      <c r="J3" s="10"/>
      <c r="K3" s="38" t="s">
        <v>22</v>
      </c>
      <c r="L3" s="22">
        <v>0.0</v>
      </c>
      <c r="M3" s="23" t="s">
        <v>27</v>
      </c>
      <c r="N3" s="39">
        <f t="shared" si="3"/>
        <v>0</v>
      </c>
      <c r="O3" s="10"/>
      <c r="P3" s="38" t="s">
        <v>22</v>
      </c>
      <c r="Q3" s="22">
        <v>0.0</v>
      </c>
      <c r="R3" s="23" t="s">
        <v>27</v>
      </c>
      <c r="S3" s="39">
        <f t="shared" si="4"/>
        <v>0</v>
      </c>
      <c r="T3" s="10"/>
      <c r="U3" s="38" t="s">
        <v>22</v>
      </c>
      <c r="V3" s="22">
        <v>0.0</v>
      </c>
      <c r="W3" s="23" t="s">
        <v>27</v>
      </c>
      <c r="X3" s="39">
        <f t="shared" si="5"/>
        <v>0</v>
      </c>
    </row>
    <row r="4">
      <c r="A4" s="40" t="s">
        <v>17</v>
      </c>
      <c r="B4" s="23">
        <v>19.3</v>
      </c>
      <c r="C4" s="41"/>
      <c r="D4" s="42"/>
      <c r="E4" s="10"/>
      <c r="F4" s="40" t="s">
        <v>18</v>
      </c>
      <c r="G4" s="23">
        <v>14.8</v>
      </c>
      <c r="H4" s="41"/>
      <c r="I4" s="42"/>
      <c r="J4" s="10"/>
      <c r="K4" s="40" t="s">
        <v>20</v>
      </c>
      <c r="L4" s="23">
        <v>11.0</v>
      </c>
      <c r="M4" s="41"/>
      <c r="N4" s="42"/>
      <c r="O4" s="10"/>
      <c r="P4" s="40" t="s">
        <v>16</v>
      </c>
      <c r="Q4" s="23">
        <v>19.0</v>
      </c>
      <c r="R4" s="41"/>
      <c r="S4" s="42"/>
      <c r="T4" s="10"/>
      <c r="U4" s="40" t="s">
        <v>17</v>
      </c>
      <c r="V4" s="23">
        <v>18.8</v>
      </c>
      <c r="W4" s="41"/>
      <c r="X4" s="42"/>
    </row>
    <row r="5">
      <c r="A5" s="43" t="s">
        <v>24</v>
      </c>
      <c r="B5" s="44">
        <v>4.01</v>
      </c>
      <c r="C5" s="45"/>
      <c r="D5" s="46"/>
      <c r="E5" s="10"/>
      <c r="F5" s="43" t="s">
        <v>17</v>
      </c>
      <c r="G5" s="44">
        <v>13.5</v>
      </c>
      <c r="H5" s="45"/>
      <c r="I5" s="46"/>
      <c r="J5" s="10"/>
      <c r="K5" s="43" t="s">
        <v>24</v>
      </c>
      <c r="L5" s="44">
        <v>6.9</v>
      </c>
      <c r="M5" s="45"/>
      <c r="N5" s="46"/>
      <c r="O5" s="10"/>
      <c r="P5" s="43"/>
      <c r="Q5" s="44">
        <v>0.0</v>
      </c>
      <c r="R5" s="45"/>
      <c r="S5" s="46"/>
      <c r="T5" s="10"/>
      <c r="U5" s="43"/>
      <c r="V5" s="44">
        <v>0.0</v>
      </c>
      <c r="W5" s="45"/>
      <c r="X5" s="46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34" t="s">
        <v>60</v>
      </c>
      <c r="B7" s="47"/>
      <c r="C7" s="47"/>
      <c r="D7" s="48"/>
      <c r="E7" s="10"/>
      <c r="F7" s="34" t="s">
        <v>61</v>
      </c>
      <c r="G7" s="47"/>
      <c r="H7" s="47"/>
      <c r="I7" s="48"/>
      <c r="J7" s="10"/>
      <c r="K7" s="34" t="s">
        <v>62</v>
      </c>
      <c r="L7" s="47"/>
      <c r="M7" s="47"/>
      <c r="N7" s="48"/>
      <c r="O7" s="10"/>
      <c r="P7" s="10"/>
      <c r="Q7" s="10"/>
      <c r="R7" s="34" t="s">
        <v>63</v>
      </c>
      <c r="S7" s="35"/>
      <c r="T7" s="49" t="s">
        <v>53</v>
      </c>
      <c r="U7" s="35"/>
      <c r="V7" s="37" t="s">
        <v>54</v>
      </c>
      <c r="W7" s="10"/>
      <c r="X7" s="10"/>
    </row>
    <row r="8">
      <c r="A8" s="38" t="s">
        <v>18</v>
      </c>
      <c r="B8" s="22">
        <v>121.0</v>
      </c>
      <c r="C8" s="23" t="s">
        <v>27</v>
      </c>
      <c r="D8" s="39">
        <f t="shared" ref="D8:D9" si="6">If(or(C8="k",C8="m"),if(C8="k",B8*1000,B8*1000000),B8*1000000000)</f>
        <v>121000</v>
      </c>
      <c r="E8" s="10"/>
      <c r="F8" s="38" t="s">
        <v>18</v>
      </c>
      <c r="G8" s="22">
        <v>0.0</v>
      </c>
      <c r="H8" s="23" t="s">
        <v>27</v>
      </c>
      <c r="I8" s="39">
        <f t="shared" ref="I8:I9" si="7">If(or(H8="k",H8="m"),if(H8="k",G8*1000,G8*1000000),G8*1000000000)</f>
        <v>0</v>
      </c>
      <c r="J8" s="10"/>
      <c r="K8" s="38" t="s">
        <v>18</v>
      </c>
      <c r="L8" s="22">
        <v>0.0</v>
      </c>
      <c r="M8" s="23" t="s">
        <v>27</v>
      </c>
      <c r="N8" s="39">
        <f t="shared" ref="N8:N9" si="8">If(or(M8="k",M8="m"),if(M8="k",L8*1000,L8*1000000),L8*1000000000)</f>
        <v>0</v>
      </c>
      <c r="O8" s="10"/>
      <c r="P8" s="10"/>
      <c r="Q8" s="10"/>
      <c r="R8" s="38" t="s">
        <v>18</v>
      </c>
      <c r="S8" s="22">
        <v>0.477</v>
      </c>
      <c r="T8" s="50" t="s">
        <v>27</v>
      </c>
      <c r="U8" s="7"/>
      <c r="V8" s="39">
        <f t="shared" ref="V8:V9" si="9">If(or(T8="k",T8="m"),if(T8="k",S8*1000,S8*1000000),S8*1000000000)</f>
        <v>477</v>
      </c>
      <c r="W8" s="10"/>
      <c r="X8" s="10"/>
    </row>
    <row r="9">
      <c r="A9" s="38" t="s">
        <v>22</v>
      </c>
      <c r="B9" s="22">
        <v>0.0</v>
      </c>
      <c r="C9" s="23" t="s">
        <v>27</v>
      </c>
      <c r="D9" s="39">
        <f t="shared" si="6"/>
        <v>0</v>
      </c>
      <c r="E9" s="10"/>
      <c r="F9" s="38" t="s">
        <v>22</v>
      </c>
      <c r="G9" s="22">
        <v>512.0</v>
      </c>
      <c r="H9" s="23" t="s">
        <v>27</v>
      </c>
      <c r="I9" s="39">
        <f t="shared" si="7"/>
        <v>512000</v>
      </c>
      <c r="J9" s="10"/>
      <c r="K9" s="38" t="s">
        <v>22</v>
      </c>
      <c r="L9" s="22">
        <v>722.0</v>
      </c>
      <c r="M9" s="23" t="s">
        <v>27</v>
      </c>
      <c r="N9" s="39">
        <f t="shared" si="8"/>
        <v>722000</v>
      </c>
      <c r="O9" s="10"/>
      <c r="P9" s="10"/>
      <c r="Q9" s="10"/>
      <c r="R9" s="38" t="s">
        <v>22</v>
      </c>
      <c r="S9" s="22">
        <v>3.81</v>
      </c>
      <c r="T9" s="50" t="s">
        <v>27</v>
      </c>
      <c r="U9" s="7"/>
      <c r="V9" s="39">
        <f t="shared" si="9"/>
        <v>3810</v>
      </c>
      <c r="W9" s="10"/>
      <c r="X9" s="10"/>
    </row>
    <row r="10">
      <c r="A10" s="40" t="s">
        <v>16</v>
      </c>
      <c r="B10" s="23">
        <v>5.99</v>
      </c>
      <c r="C10" s="50" t="s">
        <v>64</v>
      </c>
      <c r="D10" s="51"/>
      <c r="E10" s="10"/>
      <c r="F10" s="40" t="s">
        <v>21</v>
      </c>
      <c r="G10" s="23">
        <v>34.0</v>
      </c>
      <c r="H10" s="41"/>
      <c r="I10" s="42"/>
      <c r="J10" s="10"/>
      <c r="K10" s="40" t="s">
        <v>17</v>
      </c>
      <c r="L10" s="23">
        <v>7.69</v>
      </c>
      <c r="M10" s="41"/>
      <c r="N10" s="42"/>
      <c r="O10" s="10"/>
      <c r="P10" s="10"/>
      <c r="Q10" s="10"/>
      <c r="R10" s="40" t="s">
        <v>16</v>
      </c>
      <c r="S10" s="23">
        <v>19.8</v>
      </c>
      <c r="T10" s="41"/>
      <c r="U10" s="41"/>
      <c r="V10" s="42"/>
      <c r="W10" s="10"/>
      <c r="X10" s="10"/>
    </row>
    <row r="11">
      <c r="A11" s="43" t="s">
        <v>20</v>
      </c>
      <c r="B11" s="44">
        <v>8.64</v>
      </c>
      <c r="C11" s="45"/>
      <c r="D11" s="46"/>
      <c r="E11" s="10"/>
      <c r="F11" s="43"/>
      <c r="G11" s="44">
        <v>0.0</v>
      </c>
      <c r="H11" s="45"/>
      <c r="I11" s="46"/>
      <c r="J11" s="10"/>
      <c r="K11" s="43" t="s">
        <v>21</v>
      </c>
      <c r="L11" s="44">
        <v>31.4</v>
      </c>
      <c r="M11" s="45"/>
      <c r="N11" s="46"/>
      <c r="O11" s="10"/>
      <c r="P11" s="10"/>
      <c r="Q11" s="10"/>
      <c r="R11" s="43"/>
      <c r="S11" s="44">
        <v>0.0</v>
      </c>
      <c r="T11" s="45"/>
      <c r="U11" s="45"/>
      <c r="V11" s="46"/>
      <c r="W11" s="10"/>
      <c r="X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34" t="s">
        <v>65</v>
      </c>
      <c r="B13" s="47"/>
      <c r="C13" s="47"/>
      <c r="D13" s="48"/>
      <c r="E13" s="10"/>
      <c r="F13" s="34" t="s">
        <v>66</v>
      </c>
      <c r="G13" s="47"/>
      <c r="H13" s="47"/>
      <c r="I13" s="48"/>
      <c r="J13" s="10"/>
      <c r="K13" s="34" t="s">
        <v>67</v>
      </c>
      <c r="L13" s="47"/>
      <c r="M13" s="47"/>
      <c r="N13" s="48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38" t="s">
        <v>18</v>
      </c>
      <c r="B14" s="22">
        <v>245.0</v>
      </c>
      <c r="C14" s="23" t="s">
        <v>27</v>
      </c>
      <c r="D14" s="39">
        <f t="shared" ref="D14:D15" si="10">If(or(C14="k",C14="m"),if(C14="k",B14*1000,B14*1000000),B14*1000000000)</f>
        <v>245000</v>
      </c>
      <c r="E14" s="10"/>
      <c r="F14" s="38" t="s">
        <v>18</v>
      </c>
      <c r="G14" s="22">
        <v>234.0</v>
      </c>
      <c r="H14" s="23" t="s">
        <v>27</v>
      </c>
      <c r="I14" s="39">
        <f t="shared" ref="I14:I15" si="11">If(or(H14="k",H14="m"),if(H14="k",G14*1000,G14*1000000),G14*1000000000)</f>
        <v>234000</v>
      </c>
      <c r="J14" s="10"/>
      <c r="K14" s="38" t="s">
        <v>18</v>
      </c>
      <c r="L14" s="22">
        <v>162.0</v>
      </c>
      <c r="M14" s="23" t="s">
        <v>27</v>
      </c>
      <c r="N14" s="39">
        <f t="shared" ref="N14:N15" si="12">If(or(M14="k",M14="m"),if(M14="k",L14*1000,L14*1000000),L14*1000000000)</f>
        <v>162000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38" t="s">
        <v>22</v>
      </c>
      <c r="B15" s="22">
        <v>655.0</v>
      </c>
      <c r="C15" s="23" t="s">
        <v>27</v>
      </c>
      <c r="D15" s="39">
        <f t="shared" si="10"/>
        <v>655000</v>
      </c>
      <c r="E15" s="10"/>
      <c r="F15" s="38" t="s">
        <v>22</v>
      </c>
      <c r="G15" s="22">
        <v>624.0</v>
      </c>
      <c r="H15" s="23" t="s">
        <v>27</v>
      </c>
      <c r="I15" s="39">
        <f t="shared" si="11"/>
        <v>624000</v>
      </c>
      <c r="J15" s="10"/>
      <c r="K15" s="38" t="s">
        <v>22</v>
      </c>
      <c r="L15" s="22">
        <v>1.29</v>
      </c>
      <c r="M15" s="23" t="s">
        <v>59</v>
      </c>
      <c r="N15" s="39">
        <f t="shared" si="12"/>
        <v>1290000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40" t="s">
        <v>17</v>
      </c>
      <c r="B16" s="23">
        <v>6.46</v>
      </c>
      <c r="C16" s="41"/>
      <c r="D16" s="42"/>
      <c r="E16" s="10"/>
      <c r="F16" s="40" t="s">
        <v>18</v>
      </c>
      <c r="G16" s="23">
        <v>10.5</v>
      </c>
      <c r="H16" s="41"/>
      <c r="I16" s="42"/>
      <c r="J16" s="10"/>
      <c r="K16" s="40" t="s">
        <v>18</v>
      </c>
      <c r="L16" s="23">
        <v>15.0</v>
      </c>
      <c r="M16" s="41"/>
      <c r="N16" s="42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43" t="s">
        <v>21</v>
      </c>
      <c r="B17" s="44">
        <v>8.98</v>
      </c>
      <c r="C17" s="45"/>
      <c r="D17" s="46"/>
      <c r="E17" s="10"/>
      <c r="F17" s="43" t="s">
        <v>24</v>
      </c>
      <c r="G17" s="44">
        <v>4.83</v>
      </c>
      <c r="H17" s="45"/>
      <c r="I17" s="46"/>
      <c r="J17" s="10"/>
      <c r="K17" s="43" t="s">
        <v>23</v>
      </c>
      <c r="L17" s="44">
        <v>2.29</v>
      </c>
      <c r="M17" s="45"/>
      <c r="N17" s="46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52" t="s">
        <v>10</v>
      </c>
      <c r="B19" s="15">
        <f t="shared" ref="B19:B31" si="13">IF($A$4=A19,$B$4,0)+IF($A$5=A19,$B$5,0)+IF($A$10=A19,$B$10,0)+IF($A$11=A19,$B$11,0)+IF($A$16=A19,$B$16,0)+IF($A$17=A19,$B$17,0)+IF($F$4=A19,$G$4,0)+IF($F$5=A19,$G$5,0)+IF($F$10=A19,$G$10,0)+IF($F$11=A19,$G$11,0)+IF($F$16=A19,$G$16,0)+IF($F$17=A19,$G$17,0)+IF($K$4=A19,$L$4,0)+IF($K$5=A19,$L$5,0)+IF($K$10=A19,$L$10,0)+IF($K$11=A19,$L$11,0)+IF($K$16=A19,$L$16,0)+IF($K$17=A19,$L$17,0)+IF($P$4=A19,$Q$4,0)+IF($P$5=A19,$Q$5,0)+IF($R$10=A19,$S$10,0)+IF($R$11=A19,$S$11,0)+IF($U$4=A19,$V$4,0)+IF($U$5=A19,$V$5,0)</f>
        <v>0</v>
      </c>
      <c r="C19" s="53" t="s">
        <v>18</v>
      </c>
      <c r="D19" s="53" t="s">
        <v>22</v>
      </c>
      <c r="E19" s="10"/>
      <c r="F19" s="10"/>
      <c r="G19" s="10"/>
      <c r="H19" s="9"/>
      <c r="I19" s="9"/>
      <c r="J19" s="10"/>
      <c r="K19" s="9"/>
      <c r="L19" s="10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52" t="s">
        <v>12</v>
      </c>
      <c r="B20" s="15">
        <f t="shared" si="13"/>
        <v>0</v>
      </c>
      <c r="C20" s="17">
        <f>SUM(D2,D8,D14,I14,I8,I2,N2,N8,N14,S2,X2,V8)</f>
        <v>1005477</v>
      </c>
      <c r="D20" s="54">
        <f>SUM(D3,D9,D15,I15,I9,I3,N3,N9,N15,S3,V9,X3)</f>
        <v>5623810</v>
      </c>
      <c r="E20" s="10"/>
      <c r="F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52" t="s">
        <v>14</v>
      </c>
      <c r="B21" s="15">
        <f t="shared" si="13"/>
        <v>0</v>
      </c>
      <c r="D21" s="10"/>
      <c r="E21" s="10"/>
      <c r="F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52" t="s">
        <v>15</v>
      </c>
      <c r="B22" s="15">
        <f t="shared" si="13"/>
        <v>0</v>
      </c>
      <c r="D22" s="10"/>
      <c r="E22" s="10"/>
      <c r="F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52" t="s">
        <v>16</v>
      </c>
      <c r="B23" s="15">
        <f t="shared" si="13"/>
        <v>44.79</v>
      </c>
      <c r="D23" s="10"/>
      <c r="E23" s="10"/>
      <c r="F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52" t="s">
        <v>17</v>
      </c>
      <c r="B24" s="15">
        <f t="shared" si="13"/>
        <v>65.75</v>
      </c>
      <c r="D24" s="10"/>
      <c r="E24" s="10"/>
      <c r="F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53" t="s">
        <v>19</v>
      </c>
      <c r="B25" s="15">
        <f t="shared" si="13"/>
        <v>0</v>
      </c>
      <c r="D25" s="10"/>
      <c r="E25" s="10"/>
      <c r="F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53" t="s">
        <v>20</v>
      </c>
      <c r="B26" s="15">
        <f t="shared" si="13"/>
        <v>19.64</v>
      </c>
      <c r="D26" s="10"/>
      <c r="E26" s="10"/>
      <c r="F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53" t="s">
        <v>18</v>
      </c>
      <c r="B27" s="15">
        <f t="shared" si="13"/>
        <v>40.3</v>
      </c>
      <c r="D27" s="10"/>
      <c r="E27" s="10"/>
      <c r="F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52" t="s">
        <v>21</v>
      </c>
      <c r="B28" s="15">
        <f t="shared" si="13"/>
        <v>74.38</v>
      </c>
      <c r="D28" s="10"/>
      <c r="E28" s="10"/>
      <c r="F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53" t="s">
        <v>22</v>
      </c>
      <c r="B29" s="15">
        <f t="shared" si="13"/>
        <v>0</v>
      </c>
      <c r="D29" s="10"/>
      <c r="E29" s="10"/>
      <c r="F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52" t="s">
        <v>23</v>
      </c>
      <c r="B30" s="15">
        <f t="shared" si="13"/>
        <v>2.29</v>
      </c>
      <c r="D30" s="10"/>
      <c r="E30" s="10"/>
      <c r="F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52" t="s">
        <v>24</v>
      </c>
      <c r="B31" s="15">
        <f t="shared" si="13"/>
        <v>15.74</v>
      </c>
      <c r="D31" s="10"/>
      <c r="E31" s="10"/>
      <c r="F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16">
    <mergeCell ref="K7:N7"/>
    <mergeCell ref="R7:S7"/>
    <mergeCell ref="T8:U8"/>
    <mergeCell ref="T9:U9"/>
    <mergeCell ref="C10:D10"/>
    <mergeCell ref="A13:D13"/>
    <mergeCell ref="F13:I13"/>
    <mergeCell ref="K13:N13"/>
    <mergeCell ref="A1:B1"/>
    <mergeCell ref="F1:G1"/>
    <mergeCell ref="K1:L1"/>
    <mergeCell ref="P1:Q1"/>
    <mergeCell ref="U1:V1"/>
    <mergeCell ref="A7:D7"/>
    <mergeCell ref="F7:I7"/>
    <mergeCell ref="T7:U7"/>
  </mergeCells>
  <dataValidations>
    <dataValidation type="list" allowBlank="1" showErrorMessage="1" sqref="C10">
      <formula1>"Melee,Ranged"</formula1>
    </dataValidation>
    <dataValidation type="list" allowBlank="1" showErrorMessage="1" sqref="C2:C3 H2:H3 M2:M3 R2:R3 W2:W3 C8:C9 H8:H9 M8:M9 T8:T9 C14:C15 H14:H15 M14:M15">
      <formula1>"K,M,B"</formula1>
    </dataValidation>
    <dataValidation type="list" allowBlank="1" showErrorMessage="1" sqref="A4:A5 F4:F5 K4:K5 P4:P5 U4:U5 A10:A11 F10:F11 K10:K11 R10:R11 A16:A17 F16:F17 K16:K17">
      <formula1>"Crit chance,Crit damage,Block chance,Regen,Lifesteal,Double chance,Melee Dmg,Ranged Dmg,Damage,Attack speed,Health,Skill damage,Skill cooldown"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.13"/>
    <col customWidth="1" min="3" max="3" width="10.38"/>
    <col customWidth="1" min="4" max="4" width="10.25"/>
    <col customWidth="1" min="5" max="5" width="3.5"/>
    <col customWidth="1" min="6" max="6" width="15.63"/>
    <col customWidth="1" min="7" max="7" width="4.25"/>
    <col customWidth="1" min="8" max="8" width="10.38"/>
    <col customWidth="1" min="9" max="9" width="10.25"/>
    <col customWidth="1" min="10" max="10" width="3.0"/>
    <col customWidth="1" min="11" max="11" width="15.63"/>
    <col customWidth="1" min="12" max="12" width="4.25"/>
    <col customWidth="1" min="13" max="13" width="10.38"/>
    <col customWidth="1" min="14" max="14" width="10.25"/>
    <col customWidth="1" min="15" max="15" width="3.25"/>
    <col customWidth="1" min="16" max="16" width="12.25"/>
    <col customWidth="1" min="17" max="17" width="4.25"/>
    <col customWidth="1" min="18" max="18" width="14.5"/>
    <col customWidth="1" min="19" max="19" width="10.25"/>
    <col customWidth="1" min="20" max="20" width="3.0"/>
    <col customWidth="1" min="21" max="21" width="14.88"/>
    <col customWidth="1" min="22" max="22" width="10.25"/>
    <col customWidth="1" min="23" max="23" width="10.38"/>
    <col customWidth="1" min="24" max="24" width="10.25"/>
  </cols>
  <sheetData>
    <row r="1">
      <c r="A1" s="34" t="s">
        <v>52</v>
      </c>
      <c r="B1" s="35"/>
      <c r="C1" s="36" t="s">
        <v>53</v>
      </c>
      <c r="D1" s="37" t="s">
        <v>54</v>
      </c>
      <c r="E1" s="10"/>
      <c r="F1" s="34" t="s">
        <v>55</v>
      </c>
      <c r="G1" s="35"/>
      <c r="H1" s="36" t="s">
        <v>53</v>
      </c>
      <c r="I1" s="37" t="s">
        <v>54</v>
      </c>
      <c r="J1" s="10"/>
      <c r="K1" s="34" t="s">
        <v>56</v>
      </c>
      <c r="L1" s="35"/>
      <c r="M1" s="36" t="s">
        <v>53</v>
      </c>
      <c r="N1" s="37" t="s">
        <v>54</v>
      </c>
      <c r="O1" s="10"/>
      <c r="P1" s="34" t="s">
        <v>57</v>
      </c>
      <c r="Q1" s="35"/>
      <c r="R1" s="36" t="s">
        <v>53</v>
      </c>
      <c r="S1" s="37" t="s">
        <v>54</v>
      </c>
      <c r="T1" s="10"/>
      <c r="U1" s="34" t="s">
        <v>58</v>
      </c>
      <c r="V1" s="35"/>
      <c r="W1" s="36" t="s">
        <v>53</v>
      </c>
      <c r="X1" s="37" t="s">
        <v>54</v>
      </c>
    </row>
    <row r="2">
      <c r="A2" s="38" t="s">
        <v>18</v>
      </c>
      <c r="B2" s="22">
        <v>0.0</v>
      </c>
      <c r="C2" s="23" t="s">
        <v>27</v>
      </c>
      <c r="D2" s="39">
        <f t="shared" ref="D2:D3" si="1">If(or(C2="k",C2="m"),if(C2="k",B2*1000,B2*1000000),B2*1000000000)</f>
        <v>0</v>
      </c>
      <c r="E2" s="10"/>
      <c r="F2" s="38" t="s">
        <v>18</v>
      </c>
      <c r="G2" s="22">
        <v>0.0</v>
      </c>
      <c r="H2" s="23" t="s">
        <v>27</v>
      </c>
      <c r="I2" s="39">
        <f t="shared" ref="I2:I3" si="2">If(or(H2="k",H2="m"),if(H2="k",G2*1000,G2*1000000),G2*1000000000)</f>
        <v>0</v>
      </c>
      <c r="J2" s="10"/>
      <c r="K2" s="38" t="s">
        <v>18</v>
      </c>
      <c r="L2" s="22">
        <v>116.0</v>
      </c>
      <c r="M2" s="23" t="s">
        <v>27</v>
      </c>
      <c r="N2" s="39">
        <f t="shared" ref="N2:N3" si="3">If(or(M2="k",M2="m"),if(M2="k",L2*1000,L2*1000000),L2*1000000000)</f>
        <v>116000</v>
      </c>
      <c r="O2" s="10"/>
      <c r="P2" s="38" t="s">
        <v>18</v>
      </c>
      <c r="Q2" s="22">
        <v>64.0</v>
      </c>
      <c r="R2" s="23" t="s">
        <v>27</v>
      </c>
      <c r="S2" s="39">
        <f t="shared" ref="S2:S3" si="4">If(or(R2="k",R2="m"),if(R2="k",Q2*1000,Q2*1000000),Q2*1000000000)</f>
        <v>64000</v>
      </c>
      <c r="T2" s="10"/>
      <c r="U2" s="38" t="s">
        <v>18</v>
      </c>
      <c r="V2" s="22">
        <v>63.0</v>
      </c>
      <c r="W2" s="23" t="s">
        <v>27</v>
      </c>
      <c r="X2" s="39">
        <f t="shared" ref="X2:X3" si="5">If(or(W2="k",W2="m"),if(W2="k",V2*1000,V2*1000000),V2*1000000000)</f>
        <v>63000</v>
      </c>
    </row>
    <row r="3">
      <c r="A3" s="38" t="s">
        <v>22</v>
      </c>
      <c r="B3" s="22">
        <v>1.05</v>
      </c>
      <c r="C3" s="23" t="s">
        <v>59</v>
      </c>
      <c r="D3" s="39">
        <f t="shared" si="1"/>
        <v>1050000</v>
      </c>
      <c r="E3" s="10"/>
      <c r="F3" s="38" t="s">
        <v>22</v>
      </c>
      <c r="G3" s="22">
        <v>767.0</v>
      </c>
      <c r="H3" s="23" t="s">
        <v>27</v>
      </c>
      <c r="I3" s="39">
        <f t="shared" si="2"/>
        <v>767000</v>
      </c>
      <c r="J3" s="10"/>
      <c r="K3" s="38" t="s">
        <v>22</v>
      </c>
      <c r="L3" s="22">
        <v>0.0</v>
      </c>
      <c r="M3" s="23" t="s">
        <v>27</v>
      </c>
      <c r="N3" s="39">
        <f t="shared" si="3"/>
        <v>0</v>
      </c>
      <c r="O3" s="10"/>
      <c r="P3" s="38" t="s">
        <v>22</v>
      </c>
      <c r="Q3" s="22">
        <v>0.0</v>
      </c>
      <c r="R3" s="23" t="s">
        <v>27</v>
      </c>
      <c r="S3" s="39">
        <f t="shared" si="4"/>
        <v>0</v>
      </c>
      <c r="T3" s="10"/>
      <c r="U3" s="38" t="s">
        <v>22</v>
      </c>
      <c r="V3" s="22">
        <v>0.0</v>
      </c>
      <c r="W3" s="23" t="s">
        <v>27</v>
      </c>
      <c r="X3" s="39">
        <f t="shared" si="5"/>
        <v>0</v>
      </c>
    </row>
    <row r="4">
      <c r="A4" s="40" t="s">
        <v>17</v>
      </c>
      <c r="B4" s="23">
        <v>19.3</v>
      </c>
      <c r="C4" s="41"/>
      <c r="D4" s="42"/>
      <c r="E4" s="10"/>
      <c r="F4" s="40" t="s">
        <v>18</v>
      </c>
      <c r="G4" s="23">
        <v>14.8</v>
      </c>
      <c r="H4" s="41"/>
      <c r="I4" s="42"/>
      <c r="J4" s="10"/>
      <c r="K4" s="40" t="s">
        <v>20</v>
      </c>
      <c r="L4" s="23">
        <v>11.0</v>
      </c>
      <c r="M4" s="41"/>
      <c r="N4" s="42"/>
      <c r="O4" s="10"/>
      <c r="P4" s="40" t="s">
        <v>16</v>
      </c>
      <c r="Q4" s="23">
        <v>19.0</v>
      </c>
      <c r="R4" s="41"/>
      <c r="S4" s="42"/>
      <c r="T4" s="10"/>
      <c r="U4" s="40" t="s">
        <v>17</v>
      </c>
      <c r="V4" s="23">
        <v>18.8</v>
      </c>
      <c r="W4" s="41"/>
      <c r="X4" s="42"/>
    </row>
    <row r="5">
      <c r="A5" s="43" t="s">
        <v>24</v>
      </c>
      <c r="B5" s="44">
        <v>4.01</v>
      </c>
      <c r="C5" s="45"/>
      <c r="D5" s="46"/>
      <c r="E5" s="10"/>
      <c r="F5" s="43" t="s">
        <v>17</v>
      </c>
      <c r="G5" s="44">
        <v>13.5</v>
      </c>
      <c r="H5" s="45"/>
      <c r="I5" s="46"/>
      <c r="J5" s="10"/>
      <c r="K5" s="43" t="s">
        <v>24</v>
      </c>
      <c r="L5" s="44">
        <v>6.9</v>
      </c>
      <c r="M5" s="45"/>
      <c r="N5" s="46"/>
      <c r="O5" s="10"/>
      <c r="P5" s="43"/>
      <c r="Q5" s="44">
        <v>0.0</v>
      </c>
      <c r="R5" s="45"/>
      <c r="S5" s="46"/>
      <c r="T5" s="10"/>
      <c r="U5" s="43"/>
      <c r="V5" s="44">
        <v>0.0</v>
      </c>
      <c r="W5" s="45"/>
      <c r="X5" s="46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34" t="s">
        <v>60</v>
      </c>
      <c r="B7" s="47"/>
      <c r="C7" s="47"/>
      <c r="D7" s="48"/>
      <c r="E7" s="10"/>
      <c r="F7" s="34" t="s">
        <v>61</v>
      </c>
      <c r="G7" s="47"/>
      <c r="H7" s="47"/>
      <c r="I7" s="48"/>
      <c r="J7" s="10"/>
      <c r="K7" s="34" t="s">
        <v>62</v>
      </c>
      <c r="L7" s="47"/>
      <c r="M7" s="47"/>
      <c r="N7" s="48"/>
      <c r="O7" s="10"/>
      <c r="P7" s="10"/>
      <c r="Q7" s="10"/>
      <c r="R7" s="34" t="s">
        <v>63</v>
      </c>
      <c r="S7" s="35"/>
      <c r="T7" s="49" t="s">
        <v>53</v>
      </c>
      <c r="U7" s="35"/>
      <c r="V7" s="37" t="s">
        <v>54</v>
      </c>
      <c r="W7" s="10"/>
      <c r="X7" s="10"/>
    </row>
    <row r="8">
      <c r="A8" s="38" t="s">
        <v>18</v>
      </c>
      <c r="B8" s="22">
        <v>121.0</v>
      </c>
      <c r="C8" s="23" t="s">
        <v>27</v>
      </c>
      <c r="D8" s="39">
        <f t="shared" ref="D8:D9" si="6">If(or(C8="k",C8="m"),if(C8="k",B8*1000,B8*1000000),B8*1000000000)</f>
        <v>121000</v>
      </c>
      <c r="E8" s="10"/>
      <c r="F8" s="38" t="s">
        <v>18</v>
      </c>
      <c r="G8" s="22">
        <v>0.0</v>
      </c>
      <c r="H8" s="23" t="s">
        <v>27</v>
      </c>
      <c r="I8" s="39">
        <f t="shared" ref="I8:I9" si="7">If(or(H8="k",H8="m"),if(H8="k",G8*1000,G8*1000000),G8*1000000000)</f>
        <v>0</v>
      </c>
      <c r="J8" s="10"/>
      <c r="K8" s="38" t="s">
        <v>18</v>
      </c>
      <c r="L8" s="22">
        <v>0.0</v>
      </c>
      <c r="M8" s="23" t="s">
        <v>27</v>
      </c>
      <c r="N8" s="39">
        <f t="shared" ref="N8:N9" si="8">If(or(M8="k",M8="m"),if(M8="k",L8*1000,L8*1000000),L8*1000000000)</f>
        <v>0</v>
      </c>
      <c r="O8" s="10"/>
      <c r="P8" s="10"/>
      <c r="Q8" s="10"/>
      <c r="R8" s="38" t="s">
        <v>18</v>
      </c>
      <c r="S8" s="22">
        <v>0.477</v>
      </c>
      <c r="T8" s="50" t="s">
        <v>27</v>
      </c>
      <c r="U8" s="7"/>
      <c r="V8" s="39">
        <f t="shared" ref="V8:V9" si="9">If(or(T8="k",T8="m"),if(T8="k",S8*1000,S8*1000000),S8*1000000000)</f>
        <v>477</v>
      </c>
      <c r="W8" s="10"/>
      <c r="X8" s="10"/>
    </row>
    <row r="9">
      <c r="A9" s="38" t="s">
        <v>22</v>
      </c>
      <c r="B9" s="22">
        <v>0.0</v>
      </c>
      <c r="C9" s="23" t="s">
        <v>27</v>
      </c>
      <c r="D9" s="39">
        <f t="shared" si="6"/>
        <v>0</v>
      </c>
      <c r="E9" s="10"/>
      <c r="F9" s="38" t="s">
        <v>22</v>
      </c>
      <c r="G9" s="22">
        <v>512.0</v>
      </c>
      <c r="H9" s="23" t="s">
        <v>27</v>
      </c>
      <c r="I9" s="39">
        <f t="shared" si="7"/>
        <v>512000</v>
      </c>
      <c r="J9" s="10"/>
      <c r="K9" s="38" t="s">
        <v>22</v>
      </c>
      <c r="L9" s="22">
        <v>722.0</v>
      </c>
      <c r="M9" s="23" t="s">
        <v>27</v>
      </c>
      <c r="N9" s="39">
        <f t="shared" si="8"/>
        <v>722000</v>
      </c>
      <c r="O9" s="10"/>
      <c r="P9" s="10"/>
      <c r="Q9" s="10"/>
      <c r="R9" s="38" t="s">
        <v>22</v>
      </c>
      <c r="S9" s="22">
        <v>3.81</v>
      </c>
      <c r="T9" s="50" t="s">
        <v>27</v>
      </c>
      <c r="U9" s="7"/>
      <c r="V9" s="39">
        <f t="shared" si="9"/>
        <v>3810</v>
      </c>
      <c r="W9" s="10"/>
      <c r="X9" s="10"/>
    </row>
    <row r="10">
      <c r="A10" s="40" t="s">
        <v>16</v>
      </c>
      <c r="B10" s="23">
        <v>5.99</v>
      </c>
      <c r="C10" s="50" t="s">
        <v>64</v>
      </c>
      <c r="D10" s="51"/>
      <c r="E10" s="10"/>
      <c r="F10" s="40" t="s">
        <v>21</v>
      </c>
      <c r="G10" s="23">
        <v>34.0</v>
      </c>
      <c r="H10" s="41"/>
      <c r="I10" s="42"/>
      <c r="J10" s="10"/>
      <c r="K10" s="40" t="s">
        <v>17</v>
      </c>
      <c r="L10" s="23">
        <v>7.69</v>
      </c>
      <c r="M10" s="41"/>
      <c r="N10" s="42"/>
      <c r="O10" s="10"/>
      <c r="P10" s="10"/>
      <c r="Q10" s="10"/>
      <c r="R10" s="40" t="s">
        <v>16</v>
      </c>
      <c r="S10" s="23">
        <v>19.8</v>
      </c>
      <c r="T10" s="41"/>
      <c r="U10" s="41"/>
      <c r="V10" s="42"/>
      <c r="W10" s="10"/>
      <c r="X10" s="10"/>
    </row>
    <row r="11">
      <c r="A11" s="43" t="s">
        <v>20</v>
      </c>
      <c r="B11" s="44">
        <v>8.64</v>
      </c>
      <c r="C11" s="45"/>
      <c r="D11" s="46"/>
      <c r="E11" s="10"/>
      <c r="F11" s="43"/>
      <c r="G11" s="44">
        <v>0.0</v>
      </c>
      <c r="H11" s="45"/>
      <c r="I11" s="46"/>
      <c r="J11" s="10"/>
      <c r="K11" s="43" t="s">
        <v>21</v>
      </c>
      <c r="L11" s="44">
        <v>31.4</v>
      </c>
      <c r="M11" s="45"/>
      <c r="N11" s="46"/>
      <c r="O11" s="10"/>
      <c r="P11" s="10"/>
      <c r="Q11" s="10"/>
      <c r="R11" s="43"/>
      <c r="S11" s="44">
        <v>0.0</v>
      </c>
      <c r="T11" s="45"/>
      <c r="U11" s="45"/>
      <c r="V11" s="46"/>
      <c r="W11" s="10"/>
      <c r="X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34" t="s">
        <v>65</v>
      </c>
      <c r="B13" s="47"/>
      <c r="C13" s="47"/>
      <c r="D13" s="48"/>
      <c r="E13" s="10"/>
      <c r="F13" s="34" t="s">
        <v>66</v>
      </c>
      <c r="G13" s="47"/>
      <c r="H13" s="47"/>
      <c r="I13" s="48"/>
      <c r="J13" s="10"/>
      <c r="K13" s="34" t="s">
        <v>67</v>
      </c>
      <c r="L13" s="47"/>
      <c r="M13" s="47"/>
      <c r="N13" s="48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38" t="s">
        <v>18</v>
      </c>
      <c r="B14" s="22">
        <v>245.0</v>
      </c>
      <c r="C14" s="23" t="s">
        <v>27</v>
      </c>
      <c r="D14" s="39">
        <f t="shared" ref="D14:D15" si="10">If(or(C14="k",C14="m"),if(C14="k",B14*1000,B14*1000000),B14*1000000000)</f>
        <v>245000</v>
      </c>
      <c r="E14" s="10"/>
      <c r="F14" s="38" t="s">
        <v>18</v>
      </c>
      <c r="G14" s="22">
        <v>234.0</v>
      </c>
      <c r="H14" s="23" t="s">
        <v>27</v>
      </c>
      <c r="I14" s="39">
        <f t="shared" ref="I14:I15" si="11">If(or(H14="k",H14="m"),if(H14="k",G14*1000,G14*1000000),G14*1000000000)</f>
        <v>234000</v>
      </c>
      <c r="J14" s="10"/>
      <c r="K14" s="38" t="s">
        <v>18</v>
      </c>
      <c r="L14" s="22">
        <v>162.0</v>
      </c>
      <c r="M14" s="23" t="s">
        <v>27</v>
      </c>
      <c r="N14" s="39">
        <f t="shared" ref="N14:N15" si="12">If(or(M14="k",M14="m"),if(M14="k",L14*1000,L14*1000000),L14*1000000000)</f>
        <v>162000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38" t="s">
        <v>22</v>
      </c>
      <c r="B15" s="22">
        <v>655.0</v>
      </c>
      <c r="C15" s="23" t="s">
        <v>27</v>
      </c>
      <c r="D15" s="39">
        <f t="shared" si="10"/>
        <v>655000</v>
      </c>
      <c r="E15" s="10"/>
      <c r="F15" s="38" t="s">
        <v>22</v>
      </c>
      <c r="G15" s="22">
        <v>624.0</v>
      </c>
      <c r="H15" s="23" t="s">
        <v>27</v>
      </c>
      <c r="I15" s="39">
        <f t="shared" si="11"/>
        <v>624000</v>
      </c>
      <c r="J15" s="10"/>
      <c r="K15" s="38" t="s">
        <v>22</v>
      </c>
      <c r="L15" s="22">
        <v>1.29</v>
      </c>
      <c r="M15" s="23" t="s">
        <v>59</v>
      </c>
      <c r="N15" s="39">
        <f t="shared" si="12"/>
        <v>1290000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40" t="s">
        <v>17</v>
      </c>
      <c r="B16" s="23">
        <v>6.46</v>
      </c>
      <c r="C16" s="41"/>
      <c r="D16" s="42"/>
      <c r="E16" s="10"/>
      <c r="F16" s="40" t="s">
        <v>18</v>
      </c>
      <c r="G16" s="23">
        <v>10.5</v>
      </c>
      <c r="H16" s="41"/>
      <c r="I16" s="42"/>
      <c r="J16" s="10"/>
      <c r="K16" s="40" t="s">
        <v>18</v>
      </c>
      <c r="L16" s="23">
        <v>15.0</v>
      </c>
      <c r="M16" s="41"/>
      <c r="N16" s="42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43" t="s">
        <v>21</v>
      </c>
      <c r="B17" s="44">
        <v>8.98</v>
      </c>
      <c r="C17" s="45"/>
      <c r="D17" s="46"/>
      <c r="E17" s="10"/>
      <c r="F17" s="43" t="s">
        <v>24</v>
      </c>
      <c r="G17" s="44">
        <v>4.83</v>
      </c>
      <c r="H17" s="45"/>
      <c r="I17" s="46"/>
      <c r="J17" s="10"/>
      <c r="K17" s="43" t="s">
        <v>23</v>
      </c>
      <c r="L17" s="44">
        <v>2.29</v>
      </c>
      <c r="M17" s="45"/>
      <c r="N17" s="46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52" t="s">
        <v>10</v>
      </c>
      <c r="B19" s="15">
        <f t="shared" ref="B19:B31" si="13">IF($A$4=A19,$B$4,0)+IF($A$5=A19,$B$5,0)+IF($A$10=A19,$B$10,0)+IF($A$11=A19,$B$11,0)+IF($A$16=A19,$B$16,0)+IF($A$17=A19,$B$17,0)+IF($F$4=A19,$G$4,0)+IF($F$5=A19,$G$5,0)+IF($F$10=A19,$G$10,0)+IF($F$11=A19,$G$11,0)+IF($F$16=A19,$G$16,0)+IF($F$17=A19,$G$17,0)+IF($K$4=A19,$L$4,0)+IF($K$5=A19,$L$5,0)+IF($K$10=A19,$L$10,0)+IF($K$11=A19,$L$11,0)+IF($K$16=A19,$L$16,0)+IF($K$17=A19,$L$17,0)+IF($P$4=A19,$Q$4,0)+IF($P$5=A19,$Q$5,0)+IF($R$10=A19,$S$10,0)+IF($R$11=A19,$S$11,0)+IF($U$4=A19,$V$4,0)+IF($U$5=A19,$V$5,0)</f>
        <v>0</v>
      </c>
      <c r="C19" s="53" t="s">
        <v>18</v>
      </c>
      <c r="D19" s="53" t="s">
        <v>22</v>
      </c>
      <c r="E19" s="10"/>
      <c r="F19" s="10"/>
      <c r="G19" s="10"/>
      <c r="H19" s="9"/>
      <c r="I19" s="9"/>
      <c r="J19" s="10"/>
      <c r="K19" s="9"/>
      <c r="L19" s="10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52" t="s">
        <v>12</v>
      </c>
      <c r="B20" s="15">
        <f t="shared" si="13"/>
        <v>0</v>
      </c>
      <c r="C20" s="17">
        <f>SUM(D2,D8,D14,I14,I8,I2,N2,N8,N14,S2,X2,V8)</f>
        <v>1005477</v>
      </c>
      <c r="D20" s="54">
        <f>SUM(D3,D9,D15,I15,I9,I3,N3,N9,N15,S3,V9,X3)</f>
        <v>5623810</v>
      </c>
      <c r="E20" s="10"/>
      <c r="F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52" t="s">
        <v>14</v>
      </c>
      <c r="B21" s="15">
        <f t="shared" si="13"/>
        <v>0</v>
      </c>
      <c r="D21" s="10"/>
      <c r="E21" s="10"/>
      <c r="F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52" t="s">
        <v>15</v>
      </c>
      <c r="B22" s="15">
        <f t="shared" si="13"/>
        <v>0</v>
      </c>
      <c r="D22" s="10"/>
      <c r="E22" s="10"/>
      <c r="F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52" t="s">
        <v>16</v>
      </c>
      <c r="B23" s="15">
        <f t="shared" si="13"/>
        <v>44.79</v>
      </c>
      <c r="D23" s="10"/>
      <c r="E23" s="10"/>
      <c r="F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52" t="s">
        <v>17</v>
      </c>
      <c r="B24" s="15">
        <f t="shared" si="13"/>
        <v>65.75</v>
      </c>
      <c r="D24" s="10"/>
      <c r="E24" s="10"/>
      <c r="F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53" t="s">
        <v>19</v>
      </c>
      <c r="B25" s="15">
        <f t="shared" si="13"/>
        <v>0</v>
      </c>
      <c r="D25" s="10"/>
      <c r="E25" s="10"/>
      <c r="F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53" t="s">
        <v>20</v>
      </c>
      <c r="B26" s="15">
        <f t="shared" si="13"/>
        <v>19.64</v>
      </c>
      <c r="D26" s="10"/>
      <c r="E26" s="10"/>
      <c r="F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53" t="s">
        <v>18</v>
      </c>
      <c r="B27" s="15">
        <f t="shared" si="13"/>
        <v>40.3</v>
      </c>
      <c r="D27" s="10"/>
      <c r="E27" s="10"/>
      <c r="F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52" t="s">
        <v>21</v>
      </c>
      <c r="B28" s="15">
        <f t="shared" si="13"/>
        <v>74.38</v>
      </c>
      <c r="D28" s="10"/>
      <c r="E28" s="10"/>
      <c r="F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53" t="s">
        <v>22</v>
      </c>
      <c r="B29" s="15">
        <f t="shared" si="13"/>
        <v>0</v>
      </c>
      <c r="D29" s="10"/>
      <c r="E29" s="10"/>
      <c r="F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52" t="s">
        <v>23</v>
      </c>
      <c r="B30" s="15">
        <f t="shared" si="13"/>
        <v>2.29</v>
      </c>
      <c r="D30" s="10"/>
      <c r="E30" s="10"/>
      <c r="F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52" t="s">
        <v>24</v>
      </c>
      <c r="B31" s="15">
        <f t="shared" si="13"/>
        <v>15.74</v>
      </c>
      <c r="D31" s="10"/>
      <c r="E31" s="10"/>
      <c r="F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16">
    <mergeCell ref="K7:N7"/>
    <mergeCell ref="R7:S7"/>
    <mergeCell ref="T8:U8"/>
    <mergeCell ref="T9:U9"/>
    <mergeCell ref="A13:D13"/>
    <mergeCell ref="F13:I13"/>
    <mergeCell ref="K13:N13"/>
    <mergeCell ref="F7:I7"/>
    <mergeCell ref="T7:U7"/>
    <mergeCell ref="C10:D10"/>
    <mergeCell ref="A1:B1"/>
    <mergeCell ref="F1:G1"/>
    <mergeCell ref="K1:L1"/>
    <mergeCell ref="P1:Q1"/>
    <mergeCell ref="U1:V1"/>
    <mergeCell ref="A7:D7"/>
  </mergeCells>
  <dataValidations>
    <dataValidation type="list" allowBlank="1" showErrorMessage="1" sqref="C10">
      <formula1>"Melee,Ranged"</formula1>
    </dataValidation>
    <dataValidation type="list" allowBlank="1" showErrorMessage="1" sqref="C2:C3 H2:H3 M2:M3 R2:R3 W2:W3 C8:C9 H8:H9 M8:M9 T8:T9 C14:C15 H14:H15 M14:M15">
      <formula1>"K,M,B"</formula1>
    </dataValidation>
    <dataValidation type="list" allowBlank="1" showErrorMessage="1" sqref="A4:A5 F4:F5 K4:K5 P4:P5 U4:U5 A10:A11 F10:F11 K10:K11 R10:R11 A16:A17 F16:F17 K16:K17">
      <formula1>"Crit chance,Crit damage,Block chance,Regen,Lifesteal,Double chance,Melee Dmg,Ranged Dmg,Damage,Attack speed,Health,Skill damage,Skill cooldown"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.13"/>
    <col customWidth="1" min="3" max="3" width="10.38"/>
    <col customWidth="1" min="4" max="4" width="10.25"/>
    <col customWidth="1" min="5" max="5" width="3.5"/>
    <col customWidth="1" min="6" max="6" width="15.63"/>
    <col customWidth="1" min="7" max="7" width="4.25"/>
    <col customWidth="1" min="8" max="8" width="10.38"/>
    <col customWidth="1" min="9" max="9" width="10.25"/>
    <col customWidth="1" min="10" max="10" width="3.0"/>
    <col customWidth="1" min="11" max="11" width="15.63"/>
    <col customWidth="1" min="12" max="12" width="4.25"/>
    <col customWidth="1" min="13" max="13" width="10.38"/>
    <col customWidth="1" min="14" max="14" width="10.25"/>
    <col customWidth="1" min="15" max="15" width="3.25"/>
    <col customWidth="1" min="16" max="16" width="12.25"/>
    <col customWidth="1" min="17" max="17" width="4.25"/>
    <col customWidth="1" min="18" max="18" width="14.5"/>
    <col customWidth="1" min="19" max="19" width="10.25"/>
    <col customWidth="1" min="20" max="20" width="3.0"/>
    <col customWidth="1" min="21" max="21" width="14.88"/>
    <col customWidth="1" min="22" max="22" width="10.25"/>
    <col customWidth="1" min="23" max="23" width="10.38"/>
    <col customWidth="1" min="24" max="24" width="10.25"/>
  </cols>
  <sheetData>
    <row r="1">
      <c r="A1" s="34" t="s">
        <v>52</v>
      </c>
      <c r="B1" s="35"/>
      <c r="C1" s="36" t="s">
        <v>53</v>
      </c>
      <c r="D1" s="37" t="s">
        <v>54</v>
      </c>
      <c r="E1" s="10"/>
      <c r="F1" s="34" t="s">
        <v>55</v>
      </c>
      <c r="G1" s="35"/>
      <c r="H1" s="36" t="s">
        <v>53</v>
      </c>
      <c r="I1" s="37" t="s">
        <v>54</v>
      </c>
      <c r="J1" s="10"/>
      <c r="K1" s="34" t="s">
        <v>56</v>
      </c>
      <c r="L1" s="35"/>
      <c r="M1" s="36" t="s">
        <v>53</v>
      </c>
      <c r="N1" s="37" t="s">
        <v>54</v>
      </c>
      <c r="O1" s="10"/>
      <c r="P1" s="34" t="s">
        <v>57</v>
      </c>
      <c r="Q1" s="35"/>
      <c r="R1" s="36" t="s">
        <v>53</v>
      </c>
      <c r="S1" s="37" t="s">
        <v>54</v>
      </c>
      <c r="T1" s="10"/>
      <c r="U1" s="34" t="s">
        <v>58</v>
      </c>
      <c r="V1" s="35"/>
      <c r="W1" s="36" t="s">
        <v>53</v>
      </c>
      <c r="X1" s="37" t="s">
        <v>54</v>
      </c>
    </row>
    <row r="2">
      <c r="A2" s="38" t="s">
        <v>18</v>
      </c>
      <c r="B2" s="22">
        <v>0.0</v>
      </c>
      <c r="C2" s="23" t="s">
        <v>27</v>
      </c>
      <c r="D2" s="39">
        <f t="shared" ref="D2:D3" si="1">If(or(C2="k",C2="m"),if(C2="k",B2*1000,B2*1000000),B2*1000000000)</f>
        <v>0</v>
      </c>
      <c r="E2" s="10"/>
      <c r="F2" s="38" t="s">
        <v>18</v>
      </c>
      <c r="G2" s="22">
        <v>0.0</v>
      </c>
      <c r="H2" s="23" t="s">
        <v>27</v>
      </c>
      <c r="I2" s="39">
        <f t="shared" ref="I2:I3" si="2">If(or(H2="k",H2="m"),if(H2="k",G2*1000,G2*1000000),G2*1000000000)</f>
        <v>0</v>
      </c>
      <c r="J2" s="10"/>
      <c r="K2" s="38" t="s">
        <v>18</v>
      </c>
      <c r="L2" s="22">
        <v>116.0</v>
      </c>
      <c r="M2" s="23" t="s">
        <v>27</v>
      </c>
      <c r="N2" s="39">
        <f t="shared" ref="N2:N3" si="3">If(or(M2="k",M2="m"),if(M2="k",L2*1000,L2*1000000),L2*1000000000)</f>
        <v>116000</v>
      </c>
      <c r="O2" s="10"/>
      <c r="P2" s="38" t="s">
        <v>18</v>
      </c>
      <c r="Q2" s="22">
        <v>64.0</v>
      </c>
      <c r="R2" s="23" t="s">
        <v>27</v>
      </c>
      <c r="S2" s="39">
        <f t="shared" ref="S2:S3" si="4">If(or(R2="k",R2="m"),if(R2="k",Q2*1000,Q2*1000000),Q2*1000000000)</f>
        <v>64000</v>
      </c>
      <c r="T2" s="10"/>
      <c r="U2" s="38" t="s">
        <v>18</v>
      </c>
      <c r="V2" s="22">
        <v>63.0</v>
      </c>
      <c r="W2" s="23" t="s">
        <v>27</v>
      </c>
      <c r="X2" s="39">
        <f t="shared" ref="X2:X3" si="5">If(or(W2="k",W2="m"),if(W2="k",V2*1000,V2*1000000),V2*1000000000)</f>
        <v>63000</v>
      </c>
    </row>
    <row r="3">
      <c r="A3" s="38" t="s">
        <v>22</v>
      </c>
      <c r="B3" s="22">
        <v>1.05</v>
      </c>
      <c r="C3" s="23" t="s">
        <v>59</v>
      </c>
      <c r="D3" s="39">
        <f t="shared" si="1"/>
        <v>1050000</v>
      </c>
      <c r="E3" s="10"/>
      <c r="F3" s="38" t="s">
        <v>22</v>
      </c>
      <c r="G3" s="22">
        <v>767.0</v>
      </c>
      <c r="H3" s="23" t="s">
        <v>27</v>
      </c>
      <c r="I3" s="39">
        <f t="shared" si="2"/>
        <v>767000</v>
      </c>
      <c r="J3" s="10"/>
      <c r="K3" s="38" t="s">
        <v>22</v>
      </c>
      <c r="L3" s="22">
        <v>0.0</v>
      </c>
      <c r="M3" s="23" t="s">
        <v>27</v>
      </c>
      <c r="N3" s="39">
        <f t="shared" si="3"/>
        <v>0</v>
      </c>
      <c r="O3" s="10"/>
      <c r="P3" s="38" t="s">
        <v>22</v>
      </c>
      <c r="Q3" s="22">
        <v>0.0</v>
      </c>
      <c r="R3" s="23" t="s">
        <v>27</v>
      </c>
      <c r="S3" s="39">
        <f t="shared" si="4"/>
        <v>0</v>
      </c>
      <c r="T3" s="10"/>
      <c r="U3" s="38" t="s">
        <v>22</v>
      </c>
      <c r="V3" s="22">
        <v>0.0</v>
      </c>
      <c r="W3" s="23" t="s">
        <v>27</v>
      </c>
      <c r="X3" s="39">
        <f t="shared" si="5"/>
        <v>0</v>
      </c>
    </row>
    <row r="4">
      <c r="A4" s="40" t="s">
        <v>17</v>
      </c>
      <c r="B4" s="23">
        <v>19.3</v>
      </c>
      <c r="C4" s="41"/>
      <c r="D4" s="42"/>
      <c r="E4" s="10"/>
      <c r="F4" s="40" t="s">
        <v>18</v>
      </c>
      <c r="G4" s="23">
        <v>14.8</v>
      </c>
      <c r="H4" s="41"/>
      <c r="I4" s="42"/>
      <c r="J4" s="10"/>
      <c r="K4" s="40" t="s">
        <v>20</v>
      </c>
      <c r="L4" s="23">
        <v>11.0</v>
      </c>
      <c r="M4" s="41"/>
      <c r="N4" s="42"/>
      <c r="O4" s="10"/>
      <c r="P4" s="40" t="s">
        <v>16</v>
      </c>
      <c r="Q4" s="23">
        <v>19.0</v>
      </c>
      <c r="R4" s="41"/>
      <c r="S4" s="42"/>
      <c r="T4" s="10"/>
      <c r="U4" s="40" t="s">
        <v>17</v>
      </c>
      <c r="V4" s="23">
        <v>18.8</v>
      </c>
      <c r="W4" s="41"/>
      <c r="X4" s="42"/>
    </row>
    <row r="5">
      <c r="A5" s="43" t="s">
        <v>24</v>
      </c>
      <c r="B5" s="44">
        <v>4.01</v>
      </c>
      <c r="C5" s="45"/>
      <c r="D5" s="46"/>
      <c r="E5" s="10"/>
      <c r="F5" s="43" t="s">
        <v>17</v>
      </c>
      <c r="G5" s="44">
        <v>13.5</v>
      </c>
      <c r="H5" s="45"/>
      <c r="I5" s="46"/>
      <c r="J5" s="10"/>
      <c r="K5" s="43" t="s">
        <v>24</v>
      </c>
      <c r="L5" s="44">
        <v>6.9</v>
      </c>
      <c r="M5" s="45"/>
      <c r="N5" s="46"/>
      <c r="O5" s="10"/>
      <c r="P5" s="43"/>
      <c r="Q5" s="44">
        <v>0.0</v>
      </c>
      <c r="R5" s="45"/>
      <c r="S5" s="46"/>
      <c r="T5" s="10"/>
      <c r="U5" s="43"/>
      <c r="V5" s="44">
        <v>0.0</v>
      </c>
      <c r="W5" s="45"/>
      <c r="X5" s="46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34" t="s">
        <v>60</v>
      </c>
      <c r="B7" s="47"/>
      <c r="C7" s="47"/>
      <c r="D7" s="48"/>
      <c r="E7" s="10"/>
      <c r="F7" s="34" t="s">
        <v>61</v>
      </c>
      <c r="G7" s="47"/>
      <c r="H7" s="47"/>
      <c r="I7" s="48"/>
      <c r="J7" s="10"/>
      <c r="K7" s="34" t="s">
        <v>62</v>
      </c>
      <c r="L7" s="47"/>
      <c r="M7" s="47"/>
      <c r="N7" s="48"/>
      <c r="O7" s="10"/>
      <c r="P7" s="10"/>
      <c r="Q7" s="10"/>
      <c r="R7" s="34" t="s">
        <v>63</v>
      </c>
      <c r="S7" s="35"/>
      <c r="T7" s="49" t="s">
        <v>53</v>
      </c>
      <c r="U7" s="35"/>
      <c r="V7" s="37" t="s">
        <v>54</v>
      </c>
      <c r="W7" s="10"/>
      <c r="X7" s="10"/>
    </row>
    <row r="8">
      <c r="A8" s="38" t="s">
        <v>18</v>
      </c>
      <c r="B8" s="22">
        <v>121.0</v>
      </c>
      <c r="C8" s="23" t="s">
        <v>27</v>
      </c>
      <c r="D8" s="39">
        <f t="shared" ref="D8:D9" si="6">If(or(C8="k",C8="m"),if(C8="k",B8*1000,B8*1000000),B8*1000000000)</f>
        <v>121000</v>
      </c>
      <c r="E8" s="10"/>
      <c r="F8" s="38" t="s">
        <v>18</v>
      </c>
      <c r="G8" s="22">
        <v>0.0</v>
      </c>
      <c r="H8" s="23" t="s">
        <v>27</v>
      </c>
      <c r="I8" s="39">
        <f t="shared" ref="I8:I9" si="7">If(or(H8="k",H8="m"),if(H8="k",G8*1000,G8*1000000),G8*1000000000)</f>
        <v>0</v>
      </c>
      <c r="J8" s="10"/>
      <c r="K8" s="38" t="s">
        <v>18</v>
      </c>
      <c r="L8" s="22">
        <v>0.0</v>
      </c>
      <c r="M8" s="23" t="s">
        <v>27</v>
      </c>
      <c r="N8" s="39">
        <f t="shared" ref="N8:N9" si="8">If(or(M8="k",M8="m"),if(M8="k",L8*1000,L8*1000000),L8*1000000000)</f>
        <v>0</v>
      </c>
      <c r="O8" s="10"/>
      <c r="P8" s="10"/>
      <c r="Q8" s="10"/>
      <c r="R8" s="38" t="s">
        <v>18</v>
      </c>
      <c r="S8" s="22">
        <v>0.477</v>
      </c>
      <c r="T8" s="50" t="s">
        <v>27</v>
      </c>
      <c r="U8" s="7"/>
      <c r="V8" s="39">
        <f t="shared" ref="V8:V9" si="9">If(or(T8="k",T8="m"),if(T8="k",S8*1000,S8*1000000),S8*1000000000)</f>
        <v>477</v>
      </c>
      <c r="W8" s="10"/>
      <c r="X8" s="10"/>
    </row>
    <row r="9">
      <c r="A9" s="38" t="s">
        <v>22</v>
      </c>
      <c r="B9" s="22">
        <v>0.0</v>
      </c>
      <c r="C9" s="23" t="s">
        <v>27</v>
      </c>
      <c r="D9" s="39">
        <f t="shared" si="6"/>
        <v>0</v>
      </c>
      <c r="E9" s="10"/>
      <c r="F9" s="38" t="s">
        <v>22</v>
      </c>
      <c r="G9" s="22">
        <v>512.0</v>
      </c>
      <c r="H9" s="23" t="s">
        <v>27</v>
      </c>
      <c r="I9" s="39">
        <f t="shared" si="7"/>
        <v>512000</v>
      </c>
      <c r="J9" s="10"/>
      <c r="K9" s="38" t="s">
        <v>22</v>
      </c>
      <c r="L9" s="22">
        <v>722.0</v>
      </c>
      <c r="M9" s="23" t="s">
        <v>27</v>
      </c>
      <c r="N9" s="39">
        <f t="shared" si="8"/>
        <v>722000</v>
      </c>
      <c r="O9" s="10"/>
      <c r="P9" s="10"/>
      <c r="Q9" s="10"/>
      <c r="R9" s="38" t="s">
        <v>22</v>
      </c>
      <c r="S9" s="22">
        <v>3.81</v>
      </c>
      <c r="T9" s="50" t="s">
        <v>27</v>
      </c>
      <c r="U9" s="7"/>
      <c r="V9" s="39">
        <f t="shared" si="9"/>
        <v>3810</v>
      </c>
      <c r="W9" s="10"/>
      <c r="X9" s="10"/>
    </row>
    <row r="10">
      <c r="A10" s="40" t="s">
        <v>16</v>
      </c>
      <c r="B10" s="23">
        <v>5.99</v>
      </c>
      <c r="C10" s="50" t="s">
        <v>64</v>
      </c>
      <c r="D10" s="51"/>
      <c r="E10" s="10"/>
      <c r="F10" s="40" t="s">
        <v>21</v>
      </c>
      <c r="G10" s="23">
        <v>34.0</v>
      </c>
      <c r="H10" s="41"/>
      <c r="I10" s="42"/>
      <c r="J10" s="10"/>
      <c r="K10" s="40" t="s">
        <v>17</v>
      </c>
      <c r="L10" s="23">
        <v>7.69</v>
      </c>
      <c r="M10" s="41"/>
      <c r="N10" s="42"/>
      <c r="O10" s="10"/>
      <c r="P10" s="10"/>
      <c r="Q10" s="10"/>
      <c r="R10" s="40" t="s">
        <v>16</v>
      </c>
      <c r="S10" s="23">
        <v>19.8</v>
      </c>
      <c r="T10" s="41"/>
      <c r="U10" s="41"/>
      <c r="V10" s="42"/>
      <c r="W10" s="10"/>
      <c r="X10" s="10"/>
    </row>
    <row r="11">
      <c r="A11" s="43" t="s">
        <v>20</v>
      </c>
      <c r="B11" s="44">
        <v>8.64</v>
      </c>
      <c r="C11" s="45"/>
      <c r="D11" s="46"/>
      <c r="E11" s="10"/>
      <c r="F11" s="43"/>
      <c r="G11" s="44">
        <v>0.0</v>
      </c>
      <c r="H11" s="45"/>
      <c r="I11" s="46"/>
      <c r="J11" s="10"/>
      <c r="K11" s="43" t="s">
        <v>21</v>
      </c>
      <c r="L11" s="44">
        <v>31.4</v>
      </c>
      <c r="M11" s="45"/>
      <c r="N11" s="46"/>
      <c r="O11" s="10"/>
      <c r="P11" s="10"/>
      <c r="Q11" s="10"/>
      <c r="R11" s="43"/>
      <c r="S11" s="44">
        <v>0.0</v>
      </c>
      <c r="T11" s="45"/>
      <c r="U11" s="45"/>
      <c r="V11" s="46"/>
      <c r="W11" s="10"/>
      <c r="X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34" t="s">
        <v>65</v>
      </c>
      <c r="B13" s="47"/>
      <c r="C13" s="47"/>
      <c r="D13" s="48"/>
      <c r="E13" s="10"/>
      <c r="F13" s="34" t="s">
        <v>66</v>
      </c>
      <c r="G13" s="47"/>
      <c r="H13" s="47"/>
      <c r="I13" s="48"/>
      <c r="J13" s="10"/>
      <c r="K13" s="34" t="s">
        <v>67</v>
      </c>
      <c r="L13" s="47"/>
      <c r="M13" s="47"/>
      <c r="N13" s="48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38" t="s">
        <v>18</v>
      </c>
      <c r="B14" s="22">
        <v>245.0</v>
      </c>
      <c r="C14" s="23" t="s">
        <v>27</v>
      </c>
      <c r="D14" s="39">
        <f t="shared" ref="D14:D15" si="10">If(or(C14="k",C14="m"),if(C14="k",B14*1000,B14*1000000),B14*1000000000)</f>
        <v>245000</v>
      </c>
      <c r="E14" s="10"/>
      <c r="F14" s="38" t="s">
        <v>18</v>
      </c>
      <c r="G14" s="22">
        <v>234.0</v>
      </c>
      <c r="H14" s="23" t="s">
        <v>27</v>
      </c>
      <c r="I14" s="39">
        <f t="shared" ref="I14:I15" si="11">If(or(H14="k",H14="m"),if(H14="k",G14*1000,G14*1000000),G14*1000000000)</f>
        <v>234000</v>
      </c>
      <c r="J14" s="10"/>
      <c r="K14" s="38" t="s">
        <v>18</v>
      </c>
      <c r="L14" s="22">
        <v>162.0</v>
      </c>
      <c r="M14" s="23" t="s">
        <v>27</v>
      </c>
      <c r="N14" s="39">
        <f t="shared" ref="N14:N15" si="12">If(or(M14="k",M14="m"),if(M14="k",L14*1000,L14*1000000),L14*1000000000)</f>
        <v>162000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38" t="s">
        <v>22</v>
      </c>
      <c r="B15" s="22">
        <v>655.0</v>
      </c>
      <c r="C15" s="23" t="s">
        <v>27</v>
      </c>
      <c r="D15" s="39">
        <f t="shared" si="10"/>
        <v>655000</v>
      </c>
      <c r="E15" s="10"/>
      <c r="F15" s="38" t="s">
        <v>22</v>
      </c>
      <c r="G15" s="22">
        <v>624.0</v>
      </c>
      <c r="H15" s="23" t="s">
        <v>27</v>
      </c>
      <c r="I15" s="39">
        <f t="shared" si="11"/>
        <v>624000</v>
      </c>
      <c r="J15" s="10"/>
      <c r="K15" s="38" t="s">
        <v>22</v>
      </c>
      <c r="L15" s="22">
        <v>1.29</v>
      </c>
      <c r="M15" s="23" t="s">
        <v>59</v>
      </c>
      <c r="N15" s="39">
        <f t="shared" si="12"/>
        <v>1290000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40" t="s">
        <v>17</v>
      </c>
      <c r="B16" s="23">
        <v>6.46</v>
      </c>
      <c r="C16" s="41"/>
      <c r="D16" s="42"/>
      <c r="E16" s="10"/>
      <c r="F16" s="40" t="s">
        <v>18</v>
      </c>
      <c r="G16" s="23">
        <v>10.5</v>
      </c>
      <c r="H16" s="41"/>
      <c r="I16" s="42"/>
      <c r="J16" s="10"/>
      <c r="K16" s="40" t="s">
        <v>18</v>
      </c>
      <c r="L16" s="23">
        <v>15.0</v>
      </c>
      <c r="M16" s="41"/>
      <c r="N16" s="42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43" t="s">
        <v>21</v>
      </c>
      <c r="B17" s="44">
        <v>8.98</v>
      </c>
      <c r="C17" s="45"/>
      <c r="D17" s="46"/>
      <c r="E17" s="10"/>
      <c r="F17" s="43" t="s">
        <v>24</v>
      </c>
      <c r="G17" s="44">
        <v>4.83</v>
      </c>
      <c r="H17" s="45"/>
      <c r="I17" s="46"/>
      <c r="J17" s="10"/>
      <c r="K17" s="43" t="s">
        <v>23</v>
      </c>
      <c r="L17" s="44">
        <v>2.29</v>
      </c>
      <c r="M17" s="45"/>
      <c r="N17" s="46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52" t="s">
        <v>10</v>
      </c>
      <c r="B19" s="15">
        <f t="shared" ref="B19:B31" si="13">IF($A$4=A19,$B$4,0)+IF($A$5=A19,$B$5,0)+IF($A$10=A19,$B$10,0)+IF($A$11=A19,$B$11,0)+IF($A$16=A19,$B$16,0)+IF($A$17=A19,$B$17,0)+IF($F$4=A19,$G$4,0)+IF($F$5=A19,$G$5,0)+IF($F$10=A19,$G$10,0)+IF($F$11=A19,$G$11,0)+IF($F$16=A19,$G$16,0)+IF($F$17=A19,$G$17,0)+IF($K$4=A19,$L$4,0)+IF($K$5=A19,$L$5,0)+IF($K$10=A19,$L$10,0)+IF($K$11=A19,$L$11,0)+IF($K$16=A19,$L$16,0)+IF($K$17=A19,$L$17,0)+IF($P$4=A19,$Q$4,0)+IF($P$5=A19,$Q$5,0)+IF($R$10=A19,$S$10,0)+IF($R$11=A19,$S$11,0)+IF($U$4=A19,$V$4,0)+IF($U$5=A19,$V$5,0)</f>
        <v>0</v>
      </c>
      <c r="C19" s="53" t="s">
        <v>18</v>
      </c>
      <c r="D19" s="53" t="s">
        <v>22</v>
      </c>
      <c r="E19" s="10"/>
      <c r="F19" s="10"/>
      <c r="G19" s="10"/>
      <c r="H19" s="9"/>
      <c r="I19" s="9"/>
      <c r="J19" s="10"/>
      <c r="K19" s="9"/>
      <c r="L19" s="10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52" t="s">
        <v>12</v>
      </c>
      <c r="B20" s="15">
        <f t="shared" si="13"/>
        <v>0</v>
      </c>
      <c r="C20" s="17">
        <f>SUM(D2,D8,D14,I14,I8,I2,N2,N8,N14,S2,X2,V8)</f>
        <v>1005477</v>
      </c>
      <c r="D20" s="54">
        <f>SUM(D3,D9,D15,I15,I9,I3,N3,N9,N15,S3,V9,X3)</f>
        <v>5623810</v>
      </c>
      <c r="E20" s="10"/>
      <c r="F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52" t="s">
        <v>14</v>
      </c>
      <c r="B21" s="15">
        <f t="shared" si="13"/>
        <v>0</v>
      </c>
      <c r="D21" s="10"/>
      <c r="E21" s="10"/>
      <c r="F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52" t="s">
        <v>15</v>
      </c>
      <c r="B22" s="15">
        <f t="shared" si="13"/>
        <v>0</v>
      </c>
      <c r="D22" s="10"/>
      <c r="E22" s="10"/>
      <c r="F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52" t="s">
        <v>16</v>
      </c>
      <c r="B23" s="15">
        <f t="shared" si="13"/>
        <v>44.79</v>
      </c>
      <c r="D23" s="10"/>
      <c r="E23" s="10"/>
      <c r="F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52" t="s">
        <v>17</v>
      </c>
      <c r="B24" s="15">
        <f t="shared" si="13"/>
        <v>65.75</v>
      </c>
      <c r="D24" s="10"/>
      <c r="E24" s="10"/>
      <c r="F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53" t="s">
        <v>19</v>
      </c>
      <c r="B25" s="15">
        <f t="shared" si="13"/>
        <v>0</v>
      </c>
      <c r="D25" s="10"/>
      <c r="E25" s="10"/>
      <c r="F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53" t="s">
        <v>20</v>
      </c>
      <c r="B26" s="15">
        <f t="shared" si="13"/>
        <v>19.64</v>
      </c>
      <c r="D26" s="10"/>
      <c r="E26" s="10"/>
      <c r="F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53" t="s">
        <v>18</v>
      </c>
      <c r="B27" s="15">
        <f t="shared" si="13"/>
        <v>40.3</v>
      </c>
      <c r="D27" s="10"/>
      <c r="E27" s="10"/>
      <c r="F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52" t="s">
        <v>21</v>
      </c>
      <c r="B28" s="15">
        <f t="shared" si="13"/>
        <v>74.38</v>
      </c>
      <c r="D28" s="10"/>
      <c r="E28" s="10"/>
      <c r="F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53" t="s">
        <v>22</v>
      </c>
      <c r="B29" s="15">
        <f t="shared" si="13"/>
        <v>0</v>
      </c>
      <c r="D29" s="10"/>
      <c r="E29" s="10"/>
      <c r="F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52" t="s">
        <v>23</v>
      </c>
      <c r="B30" s="15">
        <f t="shared" si="13"/>
        <v>2.29</v>
      </c>
      <c r="D30" s="10"/>
      <c r="E30" s="10"/>
      <c r="F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52" t="s">
        <v>24</v>
      </c>
      <c r="B31" s="15">
        <f t="shared" si="13"/>
        <v>15.74</v>
      </c>
      <c r="D31" s="10"/>
      <c r="E31" s="10"/>
      <c r="F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16">
    <mergeCell ref="K7:N7"/>
    <mergeCell ref="R7:S7"/>
    <mergeCell ref="T8:U8"/>
    <mergeCell ref="T9:U9"/>
    <mergeCell ref="A13:D13"/>
    <mergeCell ref="F13:I13"/>
    <mergeCell ref="K13:N13"/>
    <mergeCell ref="F7:I7"/>
    <mergeCell ref="T7:U7"/>
    <mergeCell ref="C10:D10"/>
    <mergeCell ref="A1:B1"/>
    <mergeCell ref="F1:G1"/>
    <mergeCell ref="K1:L1"/>
    <mergeCell ref="P1:Q1"/>
    <mergeCell ref="U1:V1"/>
    <mergeCell ref="A7:D7"/>
  </mergeCells>
  <dataValidations>
    <dataValidation type="list" allowBlank="1" showErrorMessage="1" sqref="C10">
      <formula1>"Melee,Ranged"</formula1>
    </dataValidation>
    <dataValidation type="list" allowBlank="1" showErrorMessage="1" sqref="C2:C3 H2:H3 M2:M3 R2:R3 W2:W3 C8:C9 H8:H9 M8:M9 T8:T9 C14:C15 H14:H15 M14:M15">
      <formula1>"K,M,B"</formula1>
    </dataValidation>
    <dataValidation type="list" allowBlank="1" showErrorMessage="1" sqref="A4:A5 F4:F5 K4:K5 P4:P5 U4:U5 A10:A11 F10:F11 K10:K11 R10:R11 A16:A17 F16:F17 K16:K17">
      <formula1>"Crit chance,Crit damage,Block chance,Regen,Lifesteal,Double chance,Melee Dmg,Ranged Dmg,Damage,Attack speed,Health,Skill damage,Skill cooldown"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</cols>
  <sheetData>
    <row r="1">
      <c r="A1" s="28" t="s">
        <v>68</v>
      </c>
      <c r="D1" s="28" t="s">
        <v>69</v>
      </c>
      <c r="G1" s="28" t="s">
        <v>70</v>
      </c>
    </row>
    <row r="2">
      <c r="A2" s="28" t="s">
        <v>18</v>
      </c>
      <c r="B2" s="55">
        <f>'Profile Comparison'!D4</f>
        <v>1639668.094</v>
      </c>
      <c r="D2" s="28" t="s">
        <v>18</v>
      </c>
      <c r="E2" s="55">
        <f>'Profile Comparison'!I4</f>
        <v>1639668.094</v>
      </c>
      <c r="G2" s="28" t="s">
        <v>18</v>
      </c>
      <c r="H2" s="55">
        <f>'Profile Comparison'!N4</f>
        <v>1639668.094</v>
      </c>
    </row>
    <row r="3">
      <c r="A3" s="28" t="s">
        <v>22</v>
      </c>
      <c r="B3" s="55">
        <f>'Profile Comparison'!D5</f>
        <v>5838048.1</v>
      </c>
      <c r="D3" s="28" t="s">
        <v>22</v>
      </c>
      <c r="E3" s="55">
        <f>'Profile Comparison'!I5</f>
        <v>5838048.1</v>
      </c>
      <c r="G3" s="28" t="s">
        <v>22</v>
      </c>
      <c r="H3" s="55">
        <f>'Profile Comparison'!N5</f>
        <v>5838048.1</v>
      </c>
    </row>
    <row r="4">
      <c r="A4" s="28" t="s">
        <v>15</v>
      </c>
      <c r="B4" s="29">
        <f>'Profile Comparison'!B7</f>
        <v>0</v>
      </c>
      <c r="C4" s="20" t="s">
        <v>71</v>
      </c>
      <c r="D4" s="28" t="s">
        <v>15</v>
      </c>
      <c r="E4" s="29">
        <f>'Profile Comparison'!G7</f>
        <v>0</v>
      </c>
      <c r="F4" s="20" t="s">
        <v>71</v>
      </c>
      <c r="G4" s="28" t="s">
        <v>15</v>
      </c>
      <c r="H4" s="29">
        <f>'Profile Comparison'!L7</f>
        <v>0</v>
      </c>
      <c r="I4" s="20" t="s">
        <v>71</v>
      </c>
    </row>
    <row r="5">
      <c r="A5" s="28" t="s">
        <v>21</v>
      </c>
      <c r="B5" s="29">
        <f>'Profile Comparison'!B13</f>
        <v>74.38</v>
      </c>
      <c r="C5" s="56">
        <f>if(B5&gt;400,0.5,IF(B5&gt;275,0.6,if(B5&gt;200,0.7,if(B5&gt;150,0.8,if(B5&gt;114,0.9,if(B5&gt;87.5,1,if(B5&gt;66.7,1.1,if(B5&gt;50,1.2,if(B5&gt;36.4,1.3,if(B5&gt;25,1.4,if(B5&gt;15.4,1.5,if(B5&gt;7.1,1.6,1.7))))))))))))</f>
        <v>1.1</v>
      </c>
      <c r="D5" s="28" t="s">
        <v>21</v>
      </c>
      <c r="E5" s="29">
        <f>'Profile Comparison'!G13</f>
        <v>74.38</v>
      </c>
      <c r="F5" s="56">
        <f>if(E5&gt;400,0.5,IF(E5&gt;275,0.6,if(E5&gt;200,0.7,if(E5&gt;150,0.8,if(E5&gt;114,0.9,if(E5&gt;87.5,1,if(E5&gt;66.7,1.1,if(E5&gt;50,1.2,if(E5&gt;36.4,1.3,if(E5&gt;25,1.4,if(E5&gt;15.4,1.5,if(E5&gt;7.1,1.6,1.7))))))))))))</f>
        <v>1.1</v>
      </c>
      <c r="G5" s="28" t="s">
        <v>21</v>
      </c>
      <c r="H5" s="29">
        <f>'Profile Comparison'!L13</f>
        <v>74.38</v>
      </c>
      <c r="I5" s="56">
        <f>if(H5&gt;400,0.5,IF(H5&gt;275,0.6,if(H5&gt;200,0.7,if(H5&gt;150,0.8,if(H5&gt;114,0.9,if(H5&gt;87.5,1,if(H5&gt;66.7,1.1,if(H5&gt;50,1.2,if(H5&gt;36.4,1.3,if(H5&gt;25,1.4,if(H5&gt;15.4,1.5,if(H5&gt;7.1,1.6,1.7))))))))))))</f>
        <v>1.1</v>
      </c>
    </row>
    <row r="6">
      <c r="A6" s="28" t="s">
        <v>17</v>
      </c>
      <c r="B6" s="29">
        <f>'Profile Comparison'!B9</f>
        <v>65.75</v>
      </c>
      <c r="D6" s="28" t="s">
        <v>17</v>
      </c>
      <c r="E6" s="29">
        <f>'Profile Comparison'!G9</f>
        <v>65.75</v>
      </c>
      <c r="G6" s="28" t="s">
        <v>17</v>
      </c>
      <c r="H6" s="29">
        <f>'Profile Comparison'!L9</f>
        <v>65.75</v>
      </c>
    </row>
    <row r="7">
      <c r="A7" s="28" t="s">
        <v>16</v>
      </c>
      <c r="B7" s="29">
        <f>'Profile Comparison'!B8</f>
        <v>44.79</v>
      </c>
      <c r="D7" s="28" t="s">
        <v>16</v>
      </c>
      <c r="E7" s="29">
        <f>'Profile Comparison'!G8</f>
        <v>44.79</v>
      </c>
      <c r="G7" s="28" t="s">
        <v>16</v>
      </c>
      <c r="H7" s="29">
        <f>'Profile Comparison'!L8</f>
        <v>44.79</v>
      </c>
    </row>
    <row r="8">
      <c r="A8" s="28" t="s">
        <v>10</v>
      </c>
      <c r="B8" s="29">
        <f>'Profile Comparison'!B4</f>
        <v>0</v>
      </c>
      <c r="D8" s="28" t="s">
        <v>10</v>
      </c>
      <c r="E8" s="29">
        <f>'Profile Comparison'!G4</f>
        <v>0</v>
      </c>
      <c r="G8" s="28" t="s">
        <v>10</v>
      </c>
      <c r="H8" s="29">
        <f>'Profile Comparison'!L4</f>
        <v>0</v>
      </c>
    </row>
    <row r="9">
      <c r="A9" s="28" t="s">
        <v>12</v>
      </c>
      <c r="B9" s="29">
        <f>'Profile Comparison'!B5</f>
        <v>0</v>
      </c>
      <c r="D9" s="28" t="s">
        <v>12</v>
      </c>
      <c r="E9" s="29">
        <f>'Profile Comparison'!G5</f>
        <v>0</v>
      </c>
      <c r="G9" s="28" t="s">
        <v>12</v>
      </c>
      <c r="H9" s="29">
        <f>'Profile Comparison'!L5</f>
        <v>0</v>
      </c>
    </row>
    <row r="11">
      <c r="B11" s="57" t="s">
        <v>72</v>
      </c>
      <c r="G11" s="57" t="s">
        <v>73</v>
      </c>
    </row>
    <row r="14">
      <c r="B14" s="58" t="s">
        <v>22</v>
      </c>
      <c r="C14" s="59" t="s">
        <v>15</v>
      </c>
      <c r="D14" s="60"/>
      <c r="G14" s="61" t="s">
        <v>68</v>
      </c>
      <c r="H14" s="62" t="s">
        <v>69</v>
      </c>
      <c r="I14" s="63" t="s">
        <v>70</v>
      </c>
    </row>
    <row r="15">
      <c r="A15" s="64" t="s">
        <v>68</v>
      </c>
      <c r="B15" s="65">
        <f>B3</f>
        <v>5838048.1</v>
      </c>
      <c r="C15" s="66">
        <f>B4</f>
        <v>0</v>
      </c>
      <c r="D15" s="67">
        <f t="shared" ref="D15:D17" si="1">(B15*(C15/100))</f>
        <v>0</v>
      </c>
      <c r="F15" s="68" t="s">
        <v>18</v>
      </c>
      <c r="G15" s="69">
        <f>B2</f>
        <v>1639668.094</v>
      </c>
      <c r="H15" s="69">
        <f>E2</f>
        <v>1639668.094</v>
      </c>
      <c r="I15" s="70">
        <f>H2</f>
        <v>1639668.094</v>
      </c>
    </row>
    <row r="16">
      <c r="A16" s="71" t="s">
        <v>69</v>
      </c>
      <c r="B16" s="72">
        <f>E3</f>
        <v>5838048.1</v>
      </c>
      <c r="C16" s="19">
        <f>E4</f>
        <v>0</v>
      </c>
      <c r="D16" s="67">
        <f t="shared" si="1"/>
        <v>0</v>
      </c>
      <c r="F16" s="73" t="s">
        <v>21</v>
      </c>
      <c r="G16" s="74">
        <f t="shared" ref="G16:G18" si="2">B5</f>
        <v>74.38</v>
      </c>
      <c r="H16" s="74">
        <f t="shared" ref="H16:H18" si="3">E5</f>
        <v>74.38</v>
      </c>
      <c r="I16" s="75">
        <f t="shared" ref="I16:I18" si="4">H5</f>
        <v>74.38</v>
      </c>
    </row>
    <row r="17">
      <c r="A17" s="76" t="s">
        <v>70</v>
      </c>
      <c r="B17" s="77">
        <f>H3</f>
        <v>5838048.1</v>
      </c>
      <c r="C17" s="78">
        <f>H4</f>
        <v>0</v>
      </c>
      <c r="D17" s="79">
        <f t="shared" si="1"/>
        <v>0</v>
      </c>
      <c r="F17" s="73" t="s">
        <v>17</v>
      </c>
      <c r="G17" s="74">
        <f t="shared" si="2"/>
        <v>65.75</v>
      </c>
      <c r="H17" s="74">
        <f t="shared" si="3"/>
        <v>65.75</v>
      </c>
      <c r="I17" s="75">
        <f t="shared" si="4"/>
        <v>65.75</v>
      </c>
    </row>
    <row r="18">
      <c r="F18" s="73" t="s">
        <v>16</v>
      </c>
      <c r="G18" s="74">
        <f t="shared" si="2"/>
        <v>44.79</v>
      </c>
      <c r="H18" s="74">
        <f t="shared" si="3"/>
        <v>44.79</v>
      </c>
      <c r="I18" s="75">
        <f t="shared" si="4"/>
        <v>44.79</v>
      </c>
    </row>
    <row r="19">
      <c r="F19" s="73" t="s">
        <v>74</v>
      </c>
      <c r="G19" s="80">
        <f t="shared" ref="G19:I19" si="5">(G15)*(G18/100)</f>
        <v>734407.3392</v>
      </c>
      <c r="H19" s="80">
        <f t="shared" si="5"/>
        <v>734407.3392</v>
      </c>
      <c r="I19" s="81">
        <f t="shared" si="5"/>
        <v>734407.3392</v>
      </c>
    </row>
    <row r="20">
      <c r="F20" s="73" t="s">
        <v>75</v>
      </c>
      <c r="G20" s="80">
        <f>round(((1)/(C5/((G17+100)/100))*(G19)),0)</f>
        <v>1106618</v>
      </c>
      <c r="H20" s="80">
        <f>round(((1)/(F5/((H17+100)/100))*(H19)),0)</f>
        <v>1106618</v>
      </c>
      <c r="I20" s="81">
        <f>round(((1)/(I5/((I17+100)/100))*(I19)),0)</f>
        <v>1106618</v>
      </c>
    </row>
    <row r="21">
      <c r="F21" s="73" t="s">
        <v>10</v>
      </c>
      <c r="G21" s="74">
        <f t="shared" ref="G21:G22" si="6">B8</f>
        <v>0</v>
      </c>
      <c r="H21" s="74">
        <f t="shared" ref="H21:H22" si="7">E8</f>
        <v>0</v>
      </c>
      <c r="I21" s="75">
        <f t="shared" ref="I21:I22" si="8">H8</f>
        <v>0</v>
      </c>
    </row>
    <row r="22">
      <c r="F22" s="73" t="s">
        <v>12</v>
      </c>
      <c r="G22" s="74">
        <f t="shared" si="6"/>
        <v>0</v>
      </c>
      <c r="H22" s="74">
        <f t="shared" si="7"/>
        <v>0</v>
      </c>
      <c r="I22" s="75">
        <f t="shared" si="8"/>
        <v>0</v>
      </c>
    </row>
    <row r="23">
      <c r="F23" s="73" t="s">
        <v>76</v>
      </c>
      <c r="G23" s="80">
        <f t="shared" ref="G23:I23" si="9">((G15)*((G22+120)/100)*(G18/100))</f>
        <v>881288.8071</v>
      </c>
      <c r="H23" s="80">
        <f t="shared" si="9"/>
        <v>881288.8071</v>
      </c>
      <c r="I23" s="81">
        <f t="shared" si="9"/>
        <v>881288.8071</v>
      </c>
    </row>
    <row r="24">
      <c r="F24" s="82" t="s">
        <v>75</v>
      </c>
      <c r="G24" s="83">
        <f>round(((1)/(C5/((G17+100)/100))*((G19*((100-min(100,G21))/100))+(G23*(min(100,G21)/100)))),0)</f>
        <v>1106618</v>
      </c>
      <c r="H24" s="83">
        <f>round(((1)/(F5/((H17+100)/100))*((H19*((100-min(100,H21))/100))+(H23*(min(100,H21)/100)))),0)</f>
        <v>1106618</v>
      </c>
      <c r="I24" s="84">
        <f>round(((1)/(I5/((I17+100)/100))*((I19*((100-min(100,I21))/100))+(I23*(min(100,I21)/100)))),0)</f>
        <v>1106618</v>
      </c>
    </row>
    <row r="25">
      <c r="F25" s="85" t="s">
        <v>77</v>
      </c>
      <c r="G25" s="86">
        <f>(((((1*G15)/(C5))*((G17/100)+1))*((100-min(100,G21))/100))+((((1*G15)/(C5))*((G17/100)+1))*((min(100,G21)/100)*((120+G22)/100))))</f>
        <v>2470681.696</v>
      </c>
      <c r="H25" s="86">
        <f>(((((1*H15)/(F5))*((H17/100)+1))*((100-min(100,H21))/100))+((((1*H15)/(F5))*((H17/100)+1))*((min(100,H21)/100)*((120+H22)/100))))</f>
        <v>2470681.696</v>
      </c>
      <c r="I25" s="87">
        <f>(((((1*I15)/(I5))*((I17/100)+1))*((100-MIN(100,I21))/100))+((((1*I15)/(I5))*((I17/100)+1))*((MIN(100,I21)/100)*((120+I22)/100))))</f>
        <v>2470681.696</v>
      </c>
    </row>
  </sheetData>
  <mergeCells count="2">
    <mergeCell ref="B11:D13"/>
    <mergeCell ref="G11:H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5" max="5" width="14.63"/>
  </cols>
  <sheetData>
    <row r="1">
      <c r="A1" s="88" t="s">
        <v>38</v>
      </c>
      <c r="B1" s="89">
        <f>'Profile Comparison'!B52</f>
        <v>0</v>
      </c>
    </row>
    <row r="2">
      <c r="A2" s="90" t="s">
        <v>39</v>
      </c>
      <c r="B2" s="91">
        <f>'Profile Comparison'!B53</f>
        <v>0</v>
      </c>
    </row>
    <row r="3">
      <c r="A3" s="90" t="s">
        <v>40</v>
      </c>
      <c r="B3" s="91">
        <f>'Profile Comparison'!B54</f>
        <v>0</v>
      </c>
      <c r="K3" s="92"/>
      <c r="L3" s="93"/>
      <c r="M3" s="93"/>
      <c r="N3" s="93"/>
      <c r="O3" s="94"/>
      <c r="P3" s="93"/>
      <c r="Q3" s="93"/>
      <c r="R3" s="93"/>
      <c r="S3" s="92"/>
    </row>
    <row r="4">
      <c r="A4" s="90" t="s">
        <v>41</v>
      </c>
      <c r="B4" s="91">
        <f>'Profile Comparison'!B55</f>
        <v>0</v>
      </c>
      <c r="K4" s="92"/>
      <c r="L4" s="93"/>
      <c r="M4" s="93"/>
      <c r="N4" s="93"/>
      <c r="O4" s="94"/>
      <c r="P4" s="93"/>
      <c r="Q4" s="93"/>
      <c r="R4" s="93"/>
      <c r="S4" s="92"/>
    </row>
    <row r="5">
      <c r="A5" s="90" t="s">
        <v>42</v>
      </c>
      <c r="B5" s="91">
        <f>'Profile Comparison'!B56</f>
        <v>81.75</v>
      </c>
      <c r="K5" s="92"/>
      <c r="L5" s="93"/>
      <c r="M5" s="93"/>
      <c r="N5" s="93"/>
      <c r="O5" s="94"/>
      <c r="P5" s="93"/>
      <c r="Q5" s="93"/>
      <c r="R5" s="93"/>
      <c r="S5" s="92"/>
    </row>
    <row r="6">
      <c r="A6" s="95" t="s">
        <v>43</v>
      </c>
      <c r="B6" s="91">
        <f>'Profile Comparison'!B57</f>
        <v>16</v>
      </c>
      <c r="K6" s="92"/>
      <c r="L6" s="19"/>
      <c r="M6" s="96"/>
      <c r="N6" s="96"/>
      <c r="O6" s="94"/>
      <c r="P6" s="19"/>
      <c r="Q6" s="96"/>
      <c r="R6" s="96"/>
      <c r="S6" s="92"/>
    </row>
    <row r="7">
      <c r="A7" s="90" t="s">
        <v>44</v>
      </c>
      <c r="B7" s="91">
        <f>'Profile Comparison'!B58</f>
        <v>2</v>
      </c>
      <c r="K7" s="92"/>
      <c r="L7" s="66"/>
      <c r="M7" s="19"/>
      <c r="N7" s="19"/>
      <c r="O7" s="94"/>
      <c r="P7" s="66"/>
      <c r="Q7" s="19"/>
      <c r="R7" s="19"/>
      <c r="S7" s="92"/>
    </row>
    <row r="8">
      <c r="A8" s="90" t="s">
        <v>45</v>
      </c>
      <c r="B8" s="91">
        <f>'Profile Comparison'!B59</f>
        <v>0.25</v>
      </c>
      <c r="K8" s="92"/>
      <c r="L8" s="19"/>
      <c r="M8" s="19"/>
      <c r="N8" s="19"/>
      <c r="O8" s="94"/>
      <c r="P8" s="19"/>
      <c r="Q8" s="19"/>
      <c r="R8" s="19"/>
      <c r="S8" s="92"/>
    </row>
    <row r="9">
      <c r="A9" s="90" t="s">
        <v>46</v>
      </c>
      <c r="B9" s="91">
        <f>'Profile Comparison'!B60</f>
        <v>0</v>
      </c>
      <c r="K9" s="92"/>
      <c r="L9" s="97"/>
      <c r="M9" s="19"/>
      <c r="N9" s="19"/>
      <c r="O9" s="94"/>
      <c r="P9" s="66"/>
      <c r="Q9" s="19"/>
      <c r="R9" s="19"/>
      <c r="S9" s="92"/>
    </row>
    <row r="10">
      <c r="A10" s="90" t="s">
        <v>47</v>
      </c>
      <c r="B10" s="91">
        <f>'Profile Comparison'!B61</f>
        <v>0</v>
      </c>
      <c r="K10" s="92"/>
      <c r="L10" s="19"/>
      <c r="M10" s="19"/>
      <c r="N10" s="19"/>
      <c r="O10" s="19"/>
      <c r="P10" s="19"/>
      <c r="Q10" s="19"/>
      <c r="R10" s="19"/>
      <c r="S10" s="92"/>
    </row>
    <row r="11">
      <c r="A11" s="98" t="s">
        <v>48</v>
      </c>
      <c r="B11" s="99">
        <v>2.0</v>
      </c>
      <c r="K11" s="92"/>
      <c r="L11" s="93"/>
      <c r="M11" s="93"/>
      <c r="N11" s="93"/>
      <c r="O11" s="19"/>
      <c r="P11" s="19"/>
      <c r="Q11" s="19"/>
      <c r="R11" s="19"/>
      <c r="S11" s="92"/>
    </row>
    <row r="12">
      <c r="K12" s="92"/>
      <c r="L12" s="93"/>
      <c r="M12" s="93"/>
      <c r="N12" s="93"/>
      <c r="O12" s="19"/>
      <c r="P12" s="19"/>
      <c r="Q12" s="19"/>
      <c r="R12" s="19"/>
      <c r="S12" s="92"/>
    </row>
    <row r="13">
      <c r="A13" s="28" t="s">
        <v>78</v>
      </c>
      <c r="B13" s="28" t="s">
        <v>79</v>
      </c>
      <c r="C13" s="28" t="s">
        <v>80</v>
      </c>
      <c r="E13" s="28" t="s">
        <v>81</v>
      </c>
      <c r="F13" s="28" t="s">
        <v>79</v>
      </c>
      <c r="G13" s="28" t="s">
        <v>80</v>
      </c>
      <c r="K13" s="92"/>
      <c r="L13" s="19"/>
      <c r="M13" s="19"/>
      <c r="N13" s="19"/>
      <c r="O13" s="19"/>
      <c r="P13" s="93"/>
      <c r="Q13" s="93"/>
      <c r="R13" s="19"/>
      <c r="S13" s="92"/>
    </row>
    <row r="14">
      <c r="A14" s="88" t="s">
        <v>41</v>
      </c>
      <c r="B14" s="100" t="s">
        <v>82</v>
      </c>
      <c r="C14" s="101" t="s">
        <v>82</v>
      </c>
      <c r="E14" s="88" t="s">
        <v>41</v>
      </c>
      <c r="F14" s="102">
        <f t="shared" ref="F14:F17" si="1">if(B4=0,0,"1 in "&amp;round(((13/$B$11)*(100/B4)),2))</f>
        <v>0</v>
      </c>
      <c r="G14" s="103">
        <f t="shared" ref="G14:G17" si="2">if(B4=0,0,round((100/((13/$B$11)*(100/B4))),4)&amp;"%")</f>
        <v>0</v>
      </c>
      <c r="K14" s="92"/>
      <c r="L14" s="66"/>
      <c r="M14" s="19"/>
      <c r="N14" s="19"/>
      <c r="O14" s="19"/>
      <c r="P14" s="93"/>
      <c r="Q14" s="93"/>
      <c r="R14" s="19"/>
      <c r="S14" s="92"/>
    </row>
    <row r="15">
      <c r="A15" s="90" t="s">
        <v>42</v>
      </c>
      <c r="B15" s="104" t="s">
        <v>82</v>
      </c>
      <c r="C15" s="105" t="s">
        <v>82</v>
      </c>
      <c r="E15" s="90" t="s">
        <v>42</v>
      </c>
      <c r="F15" s="33" t="str">
        <f t="shared" si="1"/>
        <v>1 in 7.95</v>
      </c>
      <c r="G15" s="106" t="str">
        <f t="shared" si="2"/>
        <v>12.5769%</v>
      </c>
      <c r="K15" s="92"/>
      <c r="L15" s="19"/>
      <c r="M15" s="19"/>
      <c r="N15" s="19"/>
      <c r="O15" s="19"/>
      <c r="P15" s="19"/>
      <c r="Q15" s="66"/>
      <c r="R15" s="19"/>
      <c r="S15" s="92"/>
    </row>
    <row r="16">
      <c r="A16" s="95" t="s">
        <v>43</v>
      </c>
      <c r="B16" s="104" t="s">
        <v>82</v>
      </c>
      <c r="C16" s="105" t="s">
        <v>82</v>
      </c>
      <c r="E16" s="95" t="s">
        <v>43</v>
      </c>
      <c r="F16" s="33" t="str">
        <f t="shared" si="1"/>
        <v>1 in 40.63</v>
      </c>
      <c r="G16" s="106" t="str">
        <f t="shared" si="2"/>
        <v>2.4615%</v>
      </c>
      <c r="K16" s="92"/>
      <c r="L16" s="66"/>
      <c r="M16" s="19"/>
      <c r="N16" s="19"/>
      <c r="O16" s="19"/>
      <c r="P16" s="93"/>
      <c r="Q16" s="93"/>
      <c r="R16" s="19"/>
      <c r="S16" s="92"/>
    </row>
    <row r="17">
      <c r="A17" s="90" t="s">
        <v>44</v>
      </c>
      <c r="B17" s="104" t="s">
        <v>82</v>
      </c>
      <c r="C17" s="105" t="s">
        <v>82</v>
      </c>
      <c r="E17" s="90" t="s">
        <v>44</v>
      </c>
      <c r="F17" s="33" t="str">
        <f t="shared" si="1"/>
        <v>1 in 325</v>
      </c>
      <c r="G17" s="106" t="str">
        <f t="shared" si="2"/>
        <v>0.3077%</v>
      </c>
      <c r="K17" s="92"/>
      <c r="L17" s="92"/>
      <c r="M17" s="92"/>
      <c r="N17" s="92"/>
      <c r="O17" s="92"/>
      <c r="P17" s="93"/>
      <c r="Q17" s="93"/>
      <c r="R17" s="92"/>
      <c r="S17" s="92"/>
    </row>
    <row r="18">
      <c r="A18" s="90" t="s">
        <v>45</v>
      </c>
      <c r="B18" s="33" t="str">
        <f t="shared" ref="B18:B20" si="3">if(B8=0,0,"1 in "&amp;round((((13/$B$11)*(12/($B$11-1)))*(100/B8)),2))</f>
        <v>1 in 31200</v>
      </c>
      <c r="C18" s="106" t="str">
        <f t="shared" ref="C18:C20" si="4">if(B8=0,0,round((100/(((13/$B$11)*(12/($B$11-1)))*(100/B8))),4)&amp;"%")</f>
        <v>0.0032%</v>
      </c>
      <c r="E18" s="90" t="s">
        <v>45</v>
      </c>
      <c r="F18" s="33" t="str">
        <f t="shared" ref="F18:F20" si="5">if(B8=0,0,"1 in "&amp;round(((13*12)/(($B$11*13)+($B$11*12)-($B$11^2))*(100/B8)),2))</f>
        <v>1 in 1356.52</v>
      </c>
      <c r="G18" s="106" t="str">
        <f t="shared" ref="G18:G20" si="6">if(B8=0,0,round((100/(round((13*12)/(($B$11*13)+($B$11*12)-($B$11^2)),2)*(100/B8))),4)&amp;"%")</f>
        <v>0.0737%</v>
      </c>
      <c r="K18" s="92"/>
      <c r="L18" s="92"/>
      <c r="M18" s="92"/>
      <c r="N18" s="92"/>
      <c r="O18" s="92"/>
      <c r="P18" s="93"/>
      <c r="Q18" s="93"/>
      <c r="R18" s="92"/>
      <c r="S18" s="92"/>
    </row>
    <row r="19">
      <c r="A19" s="90" t="s">
        <v>46</v>
      </c>
      <c r="B19" s="33">
        <f t="shared" si="3"/>
        <v>0</v>
      </c>
      <c r="C19" s="106">
        <f t="shared" si="4"/>
        <v>0</v>
      </c>
      <c r="E19" s="90" t="s">
        <v>46</v>
      </c>
      <c r="F19" s="33">
        <f t="shared" si="5"/>
        <v>0</v>
      </c>
      <c r="G19" s="106">
        <f t="shared" si="6"/>
        <v>0</v>
      </c>
      <c r="K19" s="92"/>
      <c r="L19" s="92"/>
      <c r="M19" s="92"/>
      <c r="N19" s="92"/>
      <c r="O19" s="92"/>
      <c r="P19" s="19"/>
      <c r="Q19" s="66"/>
      <c r="R19" s="92"/>
      <c r="S19" s="92"/>
    </row>
    <row r="20">
      <c r="A20" s="90" t="s">
        <v>47</v>
      </c>
      <c r="B20" s="33">
        <f t="shared" si="3"/>
        <v>0</v>
      </c>
      <c r="C20" s="106">
        <f t="shared" si="4"/>
        <v>0</v>
      </c>
      <c r="E20" s="90" t="s">
        <v>47</v>
      </c>
      <c r="F20" s="33">
        <f t="shared" si="5"/>
        <v>0</v>
      </c>
      <c r="G20" s="106">
        <f t="shared" si="6"/>
        <v>0</v>
      </c>
      <c r="K20" s="92"/>
      <c r="L20" s="92"/>
      <c r="M20" s="92"/>
      <c r="N20" s="92"/>
      <c r="O20" s="92"/>
      <c r="P20" s="92"/>
      <c r="Q20" s="92"/>
      <c r="R20" s="92"/>
      <c r="S20" s="92"/>
    </row>
    <row r="21">
      <c r="A21" s="88" t="s">
        <v>83</v>
      </c>
      <c r="B21" s="100" t="s">
        <v>82</v>
      </c>
      <c r="C21" s="101" t="s">
        <v>82</v>
      </c>
      <c r="E21" s="88" t="s">
        <v>83</v>
      </c>
      <c r="F21" s="102" t="str">
        <f>"1 in "&amp;round((13/$B$11),2)</f>
        <v>1 in 6.5</v>
      </c>
      <c r="G21" s="103" t="str">
        <f>round((100/(13/$B$11)),4)&amp;"%"</f>
        <v>15.3846%</v>
      </c>
      <c r="K21" s="92"/>
      <c r="L21" s="92"/>
      <c r="M21" s="92"/>
      <c r="N21" s="92"/>
      <c r="O21" s="92"/>
      <c r="P21" s="92"/>
      <c r="Q21" s="92"/>
      <c r="R21" s="92"/>
      <c r="S21" s="92"/>
    </row>
    <row r="22">
      <c r="A22" s="98" t="s">
        <v>84</v>
      </c>
      <c r="B22" s="107" t="str">
        <f>"1 in "&amp;round(((13/$B$11)*(12/($B$11-1))),2)</f>
        <v>1 in 78</v>
      </c>
      <c r="C22" s="108" t="str">
        <f>round((100/((13/$B$11)*(12/($B$11-1)))),4)&amp;"%"</f>
        <v>1.2821%</v>
      </c>
      <c r="E22" s="98" t="s">
        <v>84</v>
      </c>
      <c r="F22" s="107" t="str">
        <f>"1 in "&amp;round((13*12)/(($B$11*13)+($B$11*12)-($B$11^2)),2)</f>
        <v>1 in 3.39</v>
      </c>
      <c r="G22" s="108" t="str">
        <f>round((100/round((13*12)/(($B$11*13)+($B$11*12)-($B$11^2)),2)),4)&amp;"%"</f>
        <v>29.4985%</v>
      </c>
      <c r="K22" s="92"/>
      <c r="L22" s="92"/>
      <c r="M22" s="92"/>
      <c r="N22" s="92"/>
      <c r="O22" s="92"/>
      <c r="P22" s="92"/>
      <c r="Q22" s="92"/>
      <c r="R22" s="92"/>
      <c r="S22" s="9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.88"/>
    <col customWidth="1" min="5" max="5" width="5.0"/>
    <col customWidth="1" min="6" max="6" width="7.0"/>
    <col customWidth="1" min="7" max="7" width="7.38"/>
  </cols>
  <sheetData>
    <row r="1">
      <c r="A1" s="109" t="s">
        <v>85</v>
      </c>
      <c r="C1" s="28" t="s">
        <v>86</v>
      </c>
      <c r="D1" s="28" t="s">
        <v>87</v>
      </c>
      <c r="E1" s="28" t="s">
        <v>88</v>
      </c>
      <c r="F1" s="28" t="s">
        <v>89</v>
      </c>
    </row>
    <row r="2">
      <c r="A2" s="28">
        <v>1.0</v>
      </c>
      <c r="B2" s="29">
        <f t="shared" ref="B2:B35" si="1">A2+1</f>
        <v>2</v>
      </c>
      <c r="C2" s="28">
        <v>400.0</v>
      </c>
      <c r="F2" s="28">
        <v>5.0</v>
      </c>
    </row>
    <row r="3">
      <c r="A3" s="29">
        <f t="shared" ref="A3:A35" si="2">A2+1</f>
        <v>2</v>
      </c>
      <c r="B3" s="29">
        <f t="shared" si="1"/>
        <v>3</v>
      </c>
      <c r="C3" s="28">
        <v>700.0</v>
      </c>
      <c r="F3" s="28">
        <v>15.0</v>
      </c>
    </row>
    <row r="4">
      <c r="A4" s="29">
        <f t="shared" si="2"/>
        <v>3</v>
      </c>
      <c r="B4" s="29">
        <f t="shared" si="1"/>
        <v>4</v>
      </c>
      <c r="C4" s="28">
        <v>1500.0</v>
      </c>
      <c r="F4" s="28">
        <v>30.0</v>
      </c>
    </row>
    <row r="5">
      <c r="A5" s="29">
        <f t="shared" si="2"/>
        <v>4</v>
      </c>
      <c r="B5" s="29">
        <f t="shared" si="1"/>
        <v>5</v>
      </c>
      <c r="C5" s="28">
        <v>3500.0</v>
      </c>
      <c r="E5" s="28">
        <v>1.0</v>
      </c>
    </row>
    <row r="6">
      <c r="A6" s="29">
        <f t="shared" si="2"/>
        <v>5</v>
      </c>
      <c r="B6" s="29">
        <f t="shared" si="1"/>
        <v>6</v>
      </c>
      <c r="C6" s="28">
        <v>10000.0</v>
      </c>
      <c r="E6" s="28">
        <v>2.0</v>
      </c>
    </row>
    <row r="7">
      <c r="A7" s="29">
        <f t="shared" si="2"/>
        <v>6</v>
      </c>
      <c r="B7" s="29">
        <f t="shared" si="1"/>
        <v>7</v>
      </c>
      <c r="C7" s="28">
        <v>25000.0</v>
      </c>
      <c r="E7" s="28">
        <v>7.0</v>
      </c>
      <c r="F7" s="28">
        <v>33.0</v>
      </c>
    </row>
    <row r="8">
      <c r="A8" s="29">
        <f t="shared" si="2"/>
        <v>7</v>
      </c>
      <c r="B8" s="29">
        <f t="shared" si="1"/>
        <v>8</v>
      </c>
      <c r="C8" s="28">
        <v>50000.0</v>
      </c>
      <c r="E8" s="28">
        <v>13.0</v>
      </c>
      <c r="F8" s="28">
        <v>6.0</v>
      </c>
    </row>
    <row r="9">
      <c r="A9" s="29">
        <f t="shared" si="2"/>
        <v>8</v>
      </c>
      <c r="B9" s="29">
        <f t="shared" si="1"/>
        <v>9</v>
      </c>
      <c r="C9" s="28">
        <v>100000.0</v>
      </c>
      <c r="E9" s="28">
        <v>18.0</v>
      </c>
      <c r="F9" s="28">
        <v>39.0</v>
      </c>
    </row>
    <row r="10">
      <c r="A10" s="29">
        <f t="shared" si="2"/>
        <v>9</v>
      </c>
      <c r="B10" s="29">
        <f t="shared" si="1"/>
        <v>10</v>
      </c>
      <c r="C10" s="28">
        <v>150000.0</v>
      </c>
      <c r="D10" s="28">
        <v>1.0</v>
      </c>
      <c r="F10" s="28">
        <v>13.0</v>
      </c>
    </row>
    <row r="11">
      <c r="A11" s="29">
        <f t="shared" si="2"/>
        <v>10</v>
      </c>
      <c r="B11" s="29">
        <f t="shared" si="1"/>
        <v>11</v>
      </c>
      <c r="C11" s="28">
        <v>250000.0</v>
      </c>
      <c r="D11" s="28">
        <v>1.0</v>
      </c>
      <c r="E11" s="28">
        <v>11.0</v>
      </c>
    </row>
    <row r="12">
      <c r="A12" s="29">
        <f t="shared" si="2"/>
        <v>11</v>
      </c>
      <c r="B12" s="29">
        <f t="shared" si="1"/>
        <v>12</v>
      </c>
      <c r="C12" s="28">
        <v>336000.0</v>
      </c>
      <c r="D12" s="28">
        <v>2.0</v>
      </c>
      <c r="E12" s="28">
        <v>1.0</v>
      </c>
    </row>
    <row r="13">
      <c r="A13" s="29">
        <f t="shared" si="2"/>
        <v>12</v>
      </c>
      <c r="B13" s="29">
        <f t="shared" si="1"/>
        <v>13</v>
      </c>
      <c r="C13" s="28">
        <v>452000.0</v>
      </c>
      <c r="D13" s="28">
        <v>2.0</v>
      </c>
      <c r="E13" s="28">
        <v>17.0</v>
      </c>
    </row>
    <row r="14">
      <c r="A14" s="29">
        <f t="shared" si="2"/>
        <v>13</v>
      </c>
      <c r="B14" s="29">
        <f t="shared" si="1"/>
        <v>14</v>
      </c>
      <c r="C14" s="28">
        <v>612000.0</v>
      </c>
      <c r="D14" s="28">
        <v>3.0</v>
      </c>
      <c r="E14" s="28">
        <v>13.0</v>
      </c>
    </row>
    <row r="15">
      <c r="A15" s="29">
        <f t="shared" si="2"/>
        <v>14</v>
      </c>
      <c r="B15" s="29">
        <f t="shared" si="1"/>
        <v>15</v>
      </c>
      <c r="C15" s="28">
        <v>830000.0</v>
      </c>
      <c r="D15" s="28">
        <v>4.0</v>
      </c>
      <c r="E15" s="28">
        <v>11.0</v>
      </c>
    </row>
    <row r="16">
      <c r="A16" s="29">
        <f t="shared" si="2"/>
        <v>15</v>
      </c>
      <c r="B16" s="29">
        <f t="shared" si="1"/>
        <v>16</v>
      </c>
      <c r="C16" s="28">
        <v>1120000.0</v>
      </c>
      <c r="D16" s="28">
        <v>5.0</v>
      </c>
      <c r="E16" s="28">
        <v>9.0</v>
      </c>
    </row>
    <row r="17">
      <c r="A17" s="29">
        <f t="shared" si="2"/>
        <v>16</v>
      </c>
      <c r="B17" s="29">
        <f t="shared" si="1"/>
        <v>17</v>
      </c>
      <c r="C17" s="28">
        <v>1512000.0</v>
      </c>
      <c r="D17" s="28">
        <v>6.0</v>
      </c>
      <c r="E17" s="28">
        <v>7.0</v>
      </c>
    </row>
    <row r="18">
      <c r="A18" s="29">
        <f t="shared" si="2"/>
        <v>17</v>
      </c>
      <c r="B18" s="29">
        <f t="shared" si="1"/>
        <v>18</v>
      </c>
      <c r="C18" s="28">
        <v>2037000.0</v>
      </c>
      <c r="D18" s="28">
        <v>7.0</v>
      </c>
      <c r="E18" s="28">
        <v>6.0</v>
      </c>
    </row>
    <row r="19">
      <c r="A19" s="29">
        <f t="shared" si="2"/>
        <v>18</v>
      </c>
      <c r="B19" s="29">
        <f t="shared" si="1"/>
        <v>19</v>
      </c>
      <c r="C19" s="28">
        <v>2752000.0</v>
      </c>
      <c r="D19" s="28">
        <v>8.0</v>
      </c>
      <c r="E19" s="28">
        <v>4.0</v>
      </c>
    </row>
    <row r="20">
      <c r="A20" s="29">
        <f t="shared" si="2"/>
        <v>19</v>
      </c>
      <c r="B20" s="29">
        <f t="shared" si="1"/>
        <v>20</v>
      </c>
      <c r="C20" s="28">
        <v>3717000.0</v>
      </c>
      <c r="D20" s="28">
        <v>9.0</v>
      </c>
      <c r="E20" s="28">
        <v>2.0</v>
      </c>
    </row>
    <row r="21">
      <c r="A21" s="29">
        <f t="shared" si="2"/>
        <v>20</v>
      </c>
      <c r="B21" s="29">
        <f t="shared" si="1"/>
        <v>21</v>
      </c>
      <c r="C21" s="28">
        <v>5020000.0</v>
      </c>
      <c r="D21" s="28">
        <v>10.0</v>
      </c>
      <c r="F21" s="28">
        <v>53.0</v>
      </c>
    </row>
    <row r="22">
      <c r="A22" s="29">
        <f t="shared" si="2"/>
        <v>21</v>
      </c>
      <c r="B22" s="29">
        <f t="shared" si="1"/>
        <v>22</v>
      </c>
      <c r="C22" s="28">
        <v>6780000.0</v>
      </c>
      <c r="D22" s="28">
        <v>10.0</v>
      </c>
      <c r="E22" s="28">
        <v>23.0</v>
      </c>
    </row>
    <row r="23">
      <c r="A23" s="29">
        <f t="shared" si="2"/>
        <v>22</v>
      </c>
      <c r="B23" s="29">
        <f t="shared" si="1"/>
        <v>23</v>
      </c>
      <c r="C23" s="28">
        <v>9160000.0</v>
      </c>
      <c r="D23" s="28">
        <v>11.0</v>
      </c>
      <c r="E23" s="28">
        <v>21.0</v>
      </c>
    </row>
    <row r="24">
      <c r="A24" s="29">
        <f t="shared" si="2"/>
        <v>23</v>
      </c>
      <c r="B24" s="29">
        <f t="shared" si="1"/>
        <v>24</v>
      </c>
      <c r="C24" s="28">
        <v>1.23E7</v>
      </c>
      <c r="D24" s="28">
        <v>12.0</v>
      </c>
      <c r="E24" s="28">
        <v>19.0</v>
      </c>
    </row>
    <row r="25">
      <c r="A25" s="29">
        <f t="shared" si="2"/>
        <v>24</v>
      </c>
      <c r="B25" s="29">
        <f t="shared" si="1"/>
        <v>25</v>
      </c>
      <c r="C25" s="28">
        <v>1.66E7</v>
      </c>
      <c r="D25" s="28">
        <v>13.0</v>
      </c>
      <c r="E25" s="28">
        <v>17.0</v>
      </c>
    </row>
    <row r="26">
      <c r="A26" s="29">
        <f t="shared" si="2"/>
        <v>25</v>
      </c>
      <c r="B26" s="29">
        <f t="shared" si="1"/>
        <v>26</v>
      </c>
      <c r="C26" s="28">
        <v>2.0E7</v>
      </c>
      <c r="D26" s="28">
        <v>14.0</v>
      </c>
      <c r="E26" s="28">
        <v>15.0</v>
      </c>
    </row>
    <row r="27">
      <c r="A27" s="29">
        <f t="shared" si="2"/>
        <v>26</v>
      </c>
      <c r="B27" s="29">
        <f t="shared" si="1"/>
        <v>27</v>
      </c>
      <c r="C27" s="28">
        <v>2.4E7</v>
      </c>
      <c r="D27" s="28">
        <v>15.0</v>
      </c>
      <c r="E27" s="28">
        <v>14.0</v>
      </c>
    </row>
    <row r="28">
      <c r="A28" s="29">
        <f t="shared" si="2"/>
        <v>27</v>
      </c>
      <c r="B28" s="29">
        <f t="shared" si="1"/>
        <v>28</v>
      </c>
      <c r="C28" s="28">
        <v>2.88E7</v>
      </c>
      <c r="D28" s="28">
        <v>16.0</v>
      </c>
      <c r="E28" s="28">
        <v>12.0</v>
      </c>
    </row>
    <row r="29">
      <c r="A29" s="29">
        <f t="shared" si="2"/>
        <v>28</v>
      </c>
      <c r="B29" s="29">
        <f t="shared" si="1"/>
        <v>29</v>
      </c>
      <c r="C29" s="28">
        <v>3.46E7</v>
      </c>
      <c r="D29" s="28">
        <v>17.0</v>
      </c>
      <c r="E29" s="28">
        <v>10.0</v>
      </c>
    </row>
    <row r="30">
      <c r="A30" s="29">
        <f t="shared" si="2"/>
        <v>29</v>
      </c>
      <c r="B30" s="29">
        <f t="shared" si="1"/>
        <v>30</v>
      </c>
      <c r="C30" s="28">
        <v>4.15E7</v>
      </c>
      <c r="D30" s="28">
        <v>18.0</v>
      </c>
      <c r="E30" s="28">
        <v>8.0</v>
      </c>
    </row>
    <row r="31">
      <c r="A31" s="29">
        <f t="shared" si="2"/>
        <v>30</v>
      </c>
      <c r="B31" s="29">
        <f t="shared" si="1"/>
        <v>31</v>
      </c>
      <c r="C31" s="28">
        <v>4.98E7</v>
      </c>
      <c r="D31" s="28">
        <v>19.0</v>
      </c>
      <c r="E31" s="28">
        <v>7.0</v>
      </c>
    </row>
    <row r="32">
      <c r="A32" s="29">
        <f t="shared" si="2"/>
        <v>31</v>
      </c>
      <c r="B32" s="29">
        <f t="shared" si="1"/>
        <v>32</v>
      </c>
      <c r="C32" s="28">
        <v>5.98E7</v>
      </c>
      <c r="D32" s="28">
        <v>20.0</v>
      </c>
      <c r="E32" s="28">
        <v>5.0</v>
      </c>
    </row>
    <row r="33">
      <c r="A33" s="29">
        <f t="shared" si="2"/>
        <v>32</v>
      </c>
      <c r="B33" s="29">
        <f t="shared" si="1"/>
        <v>33</v>
      </c>
      <c r="C33" s="28">
        <v>7.17E7</v>
      </c>
      <c r="D33" s="28">
        <v>21.0</v>
      </c>
      <c r="E33" s="28">
        <v>3.0</v>
      </c>
    </row>
    <row r="34">
      <c r="A34" s="29">
        <f t="shared" si="2"/>
        <v>33</v>
      </c>
      <c r="B34" s="29">
        <f t="shared" si="1"/>
        <v>34</v>
      </c>
      <c r="C34" s="28">
        <v>8.61E7</v>
      </c>
      <c r="D34" s="28">
        <v>22.0</v>
      </c>
      <c r="E34" s="28">
        <v>1.0</v>
      </c>
    </row>
    <row r="35">
      <c r="A35" s="29">
        <f t="shared" si="2"/>
        <v>34</v>
      </c>
      <c r="B35" s="29">
        <f t="shared" si="1"/>
        <v>35</v>
      </c>
      <c r="C35" s="28">
        <v>1.03E8</v>
      </c>
      <c r="D35" s="28">
        <v>23.0</v>
      </c>
    </row>
  </sheetData>
  <mergeCells count="1">
    <mergeCell ref="A1:B1"/>
  </mergeCells>
  <drawing r:id="rId1"/>
</worksheet>
</file>